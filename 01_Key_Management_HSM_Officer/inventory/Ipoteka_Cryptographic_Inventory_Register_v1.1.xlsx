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Cryptographic Inventory" sheetId="2" state="visible" r:id="rId4"/>
    <sheet name="PCI Scope Mapping" sheetId="3" state="visible" r:id="rId5"/>
    <sheet name="Summary Dashboard" sheetId="4" state="visible" r:id="rId6"/>
    <sheet name="Prohibited Protocols &amp; Ciphers" sheetId="5" state="visible" r:id="rId7"/>
    <sheet name="Review &amp; Change Log" sheetId="6" state="visible" r:id="rId8"/>
    <sheet name="Exception Register" sheetId="7" state="visible" r:id="rId9"/>
  </sheets>
  <definedNames>
    <definedName function="false" hidden="true" localSheetId="1" name="_xlnm._FilterDatabase" vbProcedure="false">'Cryptographic Inventory'!$A$1:$T$1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<sst xmlns="http://schemas.openxmlformats.org/spreadsheetml/2006/main" count="795" uniqueCount="419">
  <si>
    <t xml:space="preserve">IPOTEKA BANK</t>
  </si>
  <si>
    <t xml:space="preserve">Cryptographic Cipher Suite Inventory Register</t>
  </si>
  <si>
    <t xml:space="preserve">PCI DSS v4.0 — Requirement 12.3.3 Compliance Document</t>
  </si>
  <si>
    <t xml:space="preserve">Document ID</t>
  </si>
  <si>
    <t xml:space="preserve">IPOTEKA-CRYPTO-INV-001</t>
  </si>
  <si>
    <t xml:space="preserve">Version</t>
  </si>
  <si>
    <t xml:space="preserve">1.0</t>
  </si>
  <si>
    <t xml:space="preserve">Classification</t>
  </si>
  <si>
    <t xml:space="preserve">CONFIDENTIAL</t>
  </si>
  <si>
    <t xml:space="preserve">Effective Date</t>
  </si>
  <si>
    <t xml:space="preserve">January 15, 2026</t>
  </si>
  <si>
    <t xml:space="preserve">Next Review Due</t>
  </si>
  <si>
    <t xml:space="preserve">January 2027</t>
  </si>
  <si>
    <t xml:space="preserve">Owner</t>
  </si>
  <si>
    <t xml:space="preserve">IT Security Officer</t>
  </si>
  <si>
    <t xml:space="preserve">Approved By</t>
  </si>
  <si>
    <t xml:space="preserve">Technical Board</t>
  </si>
  <si>
    <t xml:space="preserve">Related Policy</t>
  </si>
  <si>
    <t xml:space="preserve">Network Security Policy &amp; Standards v1.2</t>
  </si>
  <si>
    <t xml:space="preserve">Related Scope Doc</t>
  </si>
  <si>
    <t xml:space="preserve">PCI Scoping Document v1.1 (30 Dec 2025)</t>
  </si>
  <si>
    <t xml:space="preserve">PCI DSS Reference</t>
  </si>
  <si>
    <t xml:space="preserve">Requirement 12.3.3, 4.2.1</t>
  </si>
  <si>
    <t xml:space="preserve">DOCUMENT APPROVAL</t>
  </si>
  <si>
    <t xml:space="preserve">Role</t>
  </si>
  <si>
    <t xml:space="preserve">Name</t>
  </si>
  <si>
    <t xml:space="preserve">Signature</t>
  </si>
  <si>
    <t xml:space="preserve">Date</t>
  </si>
  <si>
    <t xml:space="preserve">Prepared By</t>
  </si>
  <si>
    <t xml:space="preserve">Gergely Giret (Consultant)</t>
  </si>
  <si>
    <t xml:space="preserve">Reviewed By</t>
  </si>
  <si>
    <t xml:space="preserve">ID</t>
  </si>
  <si>
    <t xml:space="preserve">System / Component</t>
  </si>
  <si>
    <t xml:space="preserve">Hostname / IP</t>
  </si>
  <si>
    <t xml:space="preserve">Scope Category</t>
  </si>
  <si>
    <t xml:space="preserve">Component Type</t>
  </si>
  <si>
    <t xml:space="preserve">Protocol Version</t>
  </si>
  <si>
    <t xml:space="preserve">Cipher Suites Enabled</t>
  </si>
  <si>
    <t xml:space="preserve">Purpose / Business Justification</t>
  </si>
  <si>
    <t xml:space="preserve">CDE
(Yes/No)</t>
  </si>
  <si>
    <t xml:space="preserve">Key Length</t>
  </si>
  <si>
    <t xml:space="preserve">Key Exchange</t>
  </si>
  <si>
    <t xml:space="preserve">Certificate Issuer</t>
  </si>
  <si>
    <t xml:space="preserve">Certificate Expiry</t>
  </si>
  <si>
    <t xml:space="preserve">HSTS
Enabled</t>
  </si>
  <si>
    <t xml:space="preserve">PFS
Enabled</t>
  </si>
  <si>
    <t xml:space="preserve">Compliance
Status</t>
  </si>
  <si>
    <t xml:space="preserve">Last Review
Date</t>
  </si>
  <si>
    <t xml:space="preserve">Next Review
Due</t>
  </si>
  <si>
    <t xml:space="preserve">Responsible
Administrator</t>
  </si>
  <si>
    <t xml:space="preserve">Notes / Exceptions</t>
  </si>
  <si>
    <t xml:space="preserve">CIR-001</t>
  </si>
  <si>
    <t xml:space="preserve">Tieto RTPS (Real-Time Processing)</t>
  </si>
  <si>
    <t xml:space="preserve">CDE Network (internal)</t>
  </si>
  <si>
    <t xml:space="preserve">CDE</t>
  </si>
  <si>
    <t xml:space="preserve">Transaction Processing</t>
  </si>
  <si>
    <t xml:space="preserve">TLS 1.2</t>
  </si>
  <si>
    <t xml:space="preserve">TLS_ECDHE_RSA_WITH_AES_256_GCM_SHA384
TLS_ECDHE_RSA_WITH_AES_128_GCM_SHA256</t>
  </si>
  <si>
    <t xml:space="preserve">Real-time card transaction authorization and processing; directly handles CHD/SAD</t>
  </si>
  <si>
    <t xml:space="preserve">Yes</t>
  </si>
  <si>
    <t xml:space="preserve">RSA-2048 / AES-256</t>
  </si>
  <si>
    <t xml:space="preserve">ECDHE</t>
  </si>
  <si>
    <t xml:space="preserve">Internal CA (Ipoteka Root CA)</t>
  </si>
  <si>
    <t xml:space="preserve">2026-09-30</t>
  </si>
  <si>
    <t xml:space="preserve">N/A</t>
  </si>
  <si>
    <t xml:space="preserve">Compliant</t>
  </si>
  <si>
    <t xml:space="preserve">2026-01-10</t>
  </si>
  <si>
    <t xml:space="preserve">2027-01-10</t>
  </si>
  <si>
    <t xml:space="preserve">Infrastructure Services</t>
  </si>
  <si>
    <t xml:space="preserve">Core CDE system; processes PAN, SAD during authorization</t>
  </si>
  <si>
    <t xml:space="preserve">CIR-002</t>
  </si>
  <si>
    <t xml:space="preserve">Tieto CMS (Card Management System)</t>
  </si>
  <si>
    <t xml:space="preserve">Card Management</t>
  </si>
  <si>
    <t xml:space="preserve">Card issuance, lifecycle management, PIN management; directly handles CHD</t>
  </si>
  <si>
    <t xml:space="preserve">Handles PAN, EXD, CN; TLS 1.3 upgrade pending Tieto support</t>
  </si>
  <si>
    <t xml:space="preserve">CIR-003</t>
  </si>
  <si>
    <t xml:space="preserve">Tieto Fraud Management</t>
  </si>
  <si>
    <t xml:space="preserve">Fraud Detection</t>
  </si>
  <si>
    <t xml:space="preserve">TLS_ECDHE_RSA_WITH_AES_256_GCM_SHA384</t>
  </si>
  <si>
    <t xml:space="preserve">Monitors CHD transactions for fraud patterns; accesses transaction data</t>
  </si>
  <si>
    <t xml:space="preserve">Read access to transaction data for fraud scoring</t>
  </si>
  <si>
    <t xml:space="preserve">CIR-004</t>
  </si>
  <si>
    <t xml:space="preserve">Cardholder Notification System</t>
  </si>
  <si>
    <t xml:space="preserve">Notification Service</t>
  </si>
  <si>
    <t xml:space="preserve">TLS_ECDHE_RSA_WITH_AES_128_GCM_SHA256</t>
  </si>
  <si>
    <t xml:space="preserve">Sends transaction notifications (SMS/push) to cardholders; processes masked PAN</t>
  </si>
  <si>
    <t xml:space="preserve">RSA-2048 / AES-128</t>
  </si>
  <si>
    <t xml:space="preserve">2026-08-15</t>
  </si>
  <si>
    <t xml:space="preserve">Receives masked PAN from RTPS for notification routing</t>
  </si>
  <si>
    <t xml:space="preserve">CIR-005</t>
  </si>
  <si>
    <t xml:space="preserve">POS Terminals (Branch Offices)</t>
  </si>
  <si>
    <t xml:space="preserve">Branch locations (multiple sites)</t>
  </si>
  <si>
    <t xml:space="preserve">POS Terminal</t>
  </si>
  <si>
    <t xml:space="preserve">Cash-advance and PIN setting services at branch offices; processes PAN, SAD, PIN</t>
  </si>
  <si>
    <t xml:space="preserve">Payment Processor CA</t>
  </si>
  <si>
    <t xml:space="preserve">2027-01-31</t>
  </si>
  <si>
    <t xml:space="preserve">POS Support / Infrastructure Services</t>
  </si>
  <si>
    <t xml:space="preserve">TLS 1.3 upgrade dependent on terminal firmware; Exception EXC-002</t>
  </si>
  <si>
    <t xml:space="preserve">CIR-006</t>
  </si>
  <si>
    <t xml:space="preserve">ASBT (Core Banking System)</t>
  </si>
  <si>
    <t xml:space="preserve">Core Banking</t>
  </si>
  <si>
    <t xml:space="preserve">Core banking platform integrated with CDE; facilitates account data exchange with CHD systems</t>
  </si>
  <si>
    <t xml:space="preserve">2026-11-30</t>
  </si>
  <si>
    <t xml:space="preserve">Exchanges account/PAN data with Tieto RTPS and CMS</t>
  </si>
  <si>
    <t xml:space="preserve">CIR-007</t>
  </si>
  <si>
    <t xml:space="preserve">BSS (Mobile / Internet Banking)</t>
  </si>
  <si>
    <t xml:space="preserve">DMZ / Internal</t>
  </si>
  <si>
    <t xml:space="preserve">Connected-to</t>
  </si>
  <si>
    <t xml:space="preserve">Online Banking</t>
  </si>
  <si>
    <t xml:space="preserve">TLS 1.3 / TLS 1.2</t>
  </si>
  <si>
    <t xml:space="preserve">TLS_AES_256_GCM_SHA384
TLS_ECDHE_RSA_WITH_AES_256_GCM_SHA384
TLS_ECDHE_RSA_WITH_AES_128_GCM_SHA256</t>
  </si>
  <si>
    <t xml:space="preserve">Mobile and internet banking platform; connected to core banking and CHD systems for customer access</t>
  </si>
  <si>
    <t xml:space="preserve">ECDSA-256 / AES-256</t>
  </si>
  <si>
    <t xml:space="preserve">ECDHE (P-256)</t>
  </si>
  <si>
    <t xml:space="preserve">DigiCert Global G2</t>
  </si>
  <si>
    <t xml:space="preserve">2026-10-15</t>
  </si>
  <si>
    <t xml:space="preserve">Customer-facing; TLS 1.3 for external, TLS 1.2 for internal backend connections</t>
  </si>
  <si>
    <t xml:space="preserve">CIR-008</t>
  </si>
  <si>
    <t xml:space="preserve">Finshape</t>
  </si>
  <si>
    <t xml:space="preserve">Digital Banking Platform</t>
  </si>
  <si>
    <t xml:space="preserve">Digital banking platform connected to core banking and CHD systems; customer access channel</t>
  </si>
  <si>
    <t xml:space="preserve">2026-12-01</t>
  </si>
  <si>
    <t xml:space="preserve">Connected-to CDE; scoped per PCI DSS connectivity</t>
  </si>
  <si>
    <t xml:space="preserve">CIR-009</t>
  </si>
  <si>
    <t xml:space="preserve">OFB Bank — Tieto RTPS Connection</t>
  </si>
  <si>
    <t xml:space="preserve">External (OFB Bank)</t>
  </si>
  <si>
    <t xml:space="preserve">Third-Party</t>
  </si>
  <si>
    <t xml:space="preserve">External Processing Link</t>
  </si>
  <si>
    <t xml:space="preserve">Connection to OFB Bank (principal member) RTPS for Mastercard/VISA/UPI transaction routing</t>
  </si>
  <si>
    <t xml:space="preserve">OFB Bank CA / DigiCert</t>
  </si>
  <si>
    <t xml:space="preserve">2026-08-30</t>
  </si>
  <si>
    <t xml:space="preserve">OFB is principal member; Ipoteka is affiliate. Encrypted leased line + TLS</t>
  </si>
  <si>
    <t xml:space="preserve">CIR-010</t>
  </si>
  <si>
    <t xml:space="preserve">OFB Bank — Clearing System Connection</t>
  </si>
  <si>
    <t xml:space="preserve">Clearing Interface</t>
  </si>
  <si>
    <t xml:space="preserve">Settlement and clearing file exchange with OFB Bank for Mastercard/VISA/UPI transactions</t>
  </si>
  <si>
    <t xml:space="preserve">Clearing data contains PAN; encrypted transport mandatory</t>
  </si>
  <si>
    <t xml:space="preserve">CIR-011</t>
  </si>
  <si>
    <t xml:space="preserve">OFB Bank — ACS (Access Control Server)</t>
  </si>
  <si>
    <t xml:space="preserve">3DS Authentication</t>
  </si>
  <si>
    <t xml:space="preserve">3D Secure authentication server at OFB Bank; processes CHD during cardholder authentication</t>
  </si>
  <si>
    <t xml:space="preserve">Processes CHD for 3DS authentication flow</t>
  </si>
  <si>
    <t xml:space="preserve">CIR-012</t>
  </si>
  <si>
    <t xml:space="preserve">Mastercard 3DS Connection</t>
  </si>
  <si>
    <t xml:space="preserve">External (Mastercard Network)</t>
  </si>
  <si>
    <t xml:space="preserve">Card Scheme Interface</t>
  </si>
  <si>
    <t xml:space="preserve">TLS 1.2 (MC spec)</t>
  </si>
  <si>
    <t xml:space="preserve">Per Mastercard specification (AES-256-GCM mandatory)</t>
  </si>
  <si>
    <t xml:space="preserve">Secure connection to Mastercard 3D Secure infrastructure for cardholder authentication</t>
  </si>
  <si>
    <t xml:space="preserve">AES-256</t>
  </si>
  <si>
    <t xml:space="preserve">Per MC spec</t>
  </si>
  <si>
    <t xml:space="preserve">Mastercard PKI</t>
  </si>
  <si>
    <t xml:space="preserve">Per MC certificate rotation schedule</t>
  </si>
  <si>
    <t xml:space="preserve">Cipher suites dictated by Mastercard; compliance verified via MC security audit</t>
  </si>
  <si>
    <t xml:space="preserve">CIR-013</t>
  </si>
  <si>
    <t xml:space="preserve">VISA 3DS Connection</t>
  </si>
  <si>
    <t xml:space="preserve">External (VISA Network)</t>
  </si>
  <si>
    <t xml:space="preserve">TLS 1.2 (VISA spec)</t>
  </si>
  <si>
    <t xml:space="preserve">Per VISA specification (AES-256-GCM mandatory)</t>
  </si>
  <si>
    <t xml:space="preserve">Secure connection to VISA 3D Secure infrastructure for cardholder authentication</t>
  </si>
  <si>
    <t xml:space="preserve">Per VISA spec</t>
  </si>
  <si>
    <t xml:space="preserve">VISA PKI</t>
  </si>
  <si>
    <t xml:space="preserve">Per VISA certificate rotation schedule</t>
  </si>
  <si>
    <t xml:space="preserve">Cipher suites dictated by VISA; compliance verified via VISA security requirements</t>
  </si>
  <si>
    <t xml:space="preserve">CIR-014</t>
  </si>
  <si>
    <t xml:space="preserve">UPI 3DS Connection</t>
  </si>
  <si>
    <t xml:space="preserve">External (UPI Network)</t>
  </si>
  <si>
    <t xml:space="preserve">Secure connection to UPI (UnionPay International) 3D Secure for authentication</t>
  </si>
  <si>
    <t xml:space="preserve">UPI CA</t>
  </si>
  <si>
    <t xml:space="preserve">Per UPI certificate rotation schedule</t>
  </si>
  <si>
    <t xml:space="preserve">UPI 3DS authentication for UnionPay card transactions</t>
  </si>
  <si>
    <t xml:space="preserve">CIR-015</t>
  </si>
  <si>
    <t xml:space="preserve">HUMO Terminal Management System</t>
  </si>
  <si>
    <t xml:space="preserve">External (HUMO)</t>
  </si>
  <si>
    <t xml:space="preserve">Terminal Management</t>
  </si>
  <si>
    <t xml:space="preserve">Remote configuration and management of POS terminals by HUMO</t>
  </si>
  <si>
    <t xml:space="preserve">HUMO CA</t>
  </si>
  <si>
    <t xml:space="preserve">2026-12-31</t>
  </si>
  <si>
    <t xml:space="preserve">Terminal config data; encrypted channel required per HUMO security specs</t>
  </si>
  <si>
    <t xml:space="preserve">CIR-016</t>
  </si>
  <si>
    <t xml:space="preserve">NSX Manager (Firewall/Segmentation)</t>
  </si>
  <si>
    <t xml:space="preserve">nsxmgr.otp.ipotekabank.uz
(10.240.112.100)</t>
  </si>
  <si>
    <t xml:space="preserve">Firewall / Network Segmentation</t>
  </si>
  <si>
    <t xml:space="preserve">VMware NSX network segmentation and firewall management; enforces CDE segmentation</t>
  </si>
  <si>
    <t xml:space="preserve">No</t>
  </si>
  <si>
    <t xml:space="preserve">2026-06-30</t>
  </si>
  <si>
    <t xml:space="preserve">Network Admin Team</t>
  </si>
  <si>
    <t xml:space="preserve">CDE segmentation enforcement; management access restricted to authorized admins</t>
  </si>
  <si>
    <t xml:space="preserve">CIR-017</t>
  </si>
  <si>
    <t xml:space="preserve">Authentication Server (AD/LDAP)</t>
  </si>
  <si>
    <t xml:space="preserve">ipatieto.otp.ipotekabank.uz
(172.17.11.253)</t>
  </si>
  <si>
    <t xml:space="preserve">Authentication / Directory</t>
  </si>
  <si>
    <t xml:space="preserve">TLS 1.2 (LDAPS)</t>
  </si>
  <si>
    <t xml:space="preserve">Active Directory / LDAP authentication for CDE system access; also serves as time server (NTP)</t>
  </si>
  <si>
    <t xml:space="preserve">2026-07-15</t>
  </si>
  <si>
    <t xml:space="preserve">Dual role: authentication + NTP. LDAPS enforced; simple LDAP bind disabled</t>
  </si>
  <si>
    <t xml:space="preserve">CIR-018</t>
  </si>
  <si>
    <t xml:space="preserve">IBM QRadar SIEM (Log Server)</t>
  </si>
  <si>
    <t xml:space="preserve">172.17.197.10</t>
  </si>
  <si>
    <t xml:space="preserve">Log Management / SIEM</t>
  </si>
  <si>
    <t xml:space="preserve">Centralized security log collection from all CDE and connected systems; audit trail</t>
  </si>
  <si>
    <t xml:space="preserve">2026-09-01</t>
  </si>
  <si>
    <t xml:space="preserve">Security Admin / Infrastructure Services</t>
  </si>
  <si>
    <t xml:space="preserve">Syslog-TLS (RFC 5425) enforced for all CDE log sources</t>
  </si>
  <si>
    <t xml:space="preserve">CIR-019</t>
  </si>
  <si>
    <t xml:space="preserve">Backup Server</t>
  </si>
  <si>
    <t xml:space="preserve">bck-srv-01.otp.ipotekabank.uz
(172.29.0.9)</t>
  </si>
  <si>
    <t xml:space="preserve">Backup Infrastructure</t>
  </si>
  <si>
    <t xml:space="preserve">Backup of CDE system configurations and encrypted cardholder data; backup transport encryption</t>
  </si>
  <si>
    <t xml:space="preserve">2026-10-01</t>
  </si>
  <si>
    <t xml:space="preserve">Backup data encrypted at rest (AES-256); transport encrypted via TLS</t>
  </si>
  <si>
    <t xml:space="preserve">CIR-020</t>
  </si>
  <si>
    <t xml:space="preserve">Admin Workstations (CDE Access)</t>
  </si>
  <si>
    <t xml:space="preserve">192.168.28.21
192.168.28.29
192.168.28.44</t>
  </si>
  <si>
    <t xml:space="preserve">Workstation</t>
  </si>
  <si>
    <t xml:space="preserve">TLS 1.2 / TLS 1.3</t>
  </si>
  <si>
    <t xml:space="preserve">TLS_AES_256_GCM_SHA384
TLS_ECDHE_RSA_WITH_AES_256_GCM_SHA384</t>
  </si>
  <si>
    <t xml:space="preserve">Authorized administrator workstations with access to CDE systems for management and monitoring</t>
  </si>
  <si>
    <t xml:space="preserve">N/A (endpoint certs)</t>
  </si>
  <si>
    <t xml:space="preserve">3 authorized workstations only; MFA required; access logged to QRadar</t>
  </si>
  <si>
    <t xml:space="preserve">CIR-021</t>
  </si>
  <si>
    <t xml:space="preserve">FortiGate Firewall (IPSec VPN)</t>
  </si>
  <si>
    <t xml:space="preserve">FortiGate (branch offices &amp; DC perimeter)</t>
  </si>
  <si>
    <t xml:space="preserve">Firewall / VPN Gateway</t>
  </si>
  <si>
    <t xml:space="preserve">IPSec/IKEv2</t>
  </si>
  <si>
    <t xml:space="preserve">AES-256-CBC + SHA-256
AES-256-GCM (IKEv2 Phase 2)</t>
  </si>
  <si>
    <t xml:space="preserve">Site-to-site VPN tunnels for branch-to-DC and DC-to-DC replication; protects data in transit over untrusted WAN. Enforces CDE network segmentation.</t>
  </si>
  <si>
    <t xml:space="preserve">AES-256 / DH Group 14 (2048-bit)</t>
  </si>
  <si>
    <t xml:space="preserve">IKEv2 / DHE (Group 14+)</t>
  </si>
  <si>
    <t xml:space="preserve">Per annual rotation</t>
  </si>
  <si>
    <t xml:space="preserve">2026-03-03</t>
  </si>
  <si>
    <t xml:space="preserve">2027-03-03</t>
  </si>
  <si>
    <t xml:space="preserve">Added 2026-03-03 — Gergely Giret. Aligned with Network_Protocol_Policy_appendix_v1.1; 3DES removed, AES-256-CBC+SHA-256 (IKEv2) enforced per CIR Prohibited Protocols &amp; Ciphers sheet.</t>
  </si>
  <si>
    <t xml:space="preserve">PCI DSS Scope Mapping — Systems vs. Inventory Coverage</t>
  </si>
  <si>
    <t xml:space="preserve">Cross-reference: PCI Scoping Document v1.1 ↔ Cryptographic Inventory Register</t>
  </si>
  <si>
    <t xml:space="preserve">Scoping Doc Reference</t>
  </si>
  <si>
    <t xml:space="preserve">System Name</t>
  </si>
  <si>
    <t xml:space="preserve">CIR ID</t>
  </si>
  <si>
    <t xml:space="preserve">Crypto Coverage</t>
  </si>
  <si>
    <t xml:space="preserve">Data Types Handled</t>
  </si>
  <si>
    <t xml:space="preserve">Notes</t>
  </si>
  <si>
    <t xml:space="preserve">Section 4 — CDE</t>
  </si>
  <si>
    <t xml:space="preserve">Tieto RTPS</t>
  </si>
  <si>
    <t xml:space="preserve">✓ Covered</t>
  </si>
  <si>
    <t xml:space="preserve">PAN, SAD, CVC, PIN</t>
  </si>
  <si>
    <t xml:space="preserve">Real-time transaction processing</t>
  </si>
  <si>
    <t xml:space="preserve">Tieto CMS</t>
  </si>
  <si>
    <t xml:space="preserve">PAN, EXD, CN</t>
  </si>
  <si>
    <t xml:space="preserve">Card management and issuance</t>
  </si>
  <si>
    <t xml:space="preserve">PAN, transaction data</t>
  </si>
  <si>
    <t xml:space="preserve">Fraud monitoring on CHD transactions</t>
  </si>
  <si>
    <t xml:space="preserve">Masked PAN</t>
  </si>
  <si>
    <t xml:space="preserve">SMS/Push notifications</t>
  </si>
  <si>
    <t xml:space="preserve">POS Terminals (Branch)</t>
  </si>
  <si>
    <t xml:space="preserve">PAN, SAD, PIN</t>
  </si>
  <si>
    <t xml:space="preserve">Cash-advance and PIN setting</t>
  </si>
  <si>
    <t xml:space="preserve">ASBT (Core Banking)</t>
  </si>
  <si>
    <t xml:space="preserve">PAN, account data</t>
  </si>
  <si>
    <t xml:space="preserve">Integrated with CDE for data exchange</t>
  </si>
  <si>
    <t xml:space="preserve">Section 4 — Connected</t>
  </si>
  <si>
    <t xml:space="preserve">BSS (Mobile/Internet Banking)</t>
  </si>
  <si>
    <t xml:space="preserve">PAN (via backend)</t>
  </si>
  <si>
    <t xml:space="preserve">Customer-facing digital channel</t>
  </si>
  <si>
    <t xml:space="preserve">Digital banking platform</t>
  </si>
  <si>
    <t xml:space="preserve">Section 4 — Third-Party</t>
  </si>
  <si>
    <t xml:space="preserve">OFB Bank — Tieto RTPS</t>
  </si>
  <si>
    <t xml:space="preserve">PAN, SAD</t>
  </si>
  <si>
    <t xml:space="preserve">Principal member connection</t>
  </si>
  <si>
    <t xml:space="preserve">OFB Bank — Clearing</t>
  </si>
  <si>
    <t xml:space="preserve">PAN, clearing data</t>
  </si>
  <si>
    <t xml:space="preserve">Settlement file exchange</t>
  </si>
  <si>
    <t xml:space="preserve">OFB Bank — ACS</t>
  </si>
  <si>
    <t xml:space="preserve">CHD (3DS auth)</t>
  </si>
  <si>
    <t xml:space="preserve">3D Secure authentication</t>
  </si>
  <si>
    <t xml:space="preserve">Mastercard 3DS</t>
  </si>
  <si>
    <t xml:space="preserve">MC authentication interface</t>
  </si>
  <si>
    <t xml:space="preserve">VISA 3DS</t>
  </si>
  <si>
    <t xml:space="preserve">VISA authentication interface</t>
  </si>
  <si>
    <t xml:space="preserve">UPI 3DS</t>
  </si>
  <si>
    <t xml:space="preserve">UPI authentication interface</t>
  </si>
  <si>
    <t xml:space="preserve">HUMO TMS</t>
  </si>
  <si>
    <t xml:space="preserve">Terminal config</t>
  </si>
  <si>
    <t xml:space="preserve">POS terminal remote config</t>
  </si>
  <si>
    <t xml:space="preserve">NSX Manager (Firewall)</t>
  </si>
  <si>
    <t xml:space="preserve">N/A (management)</t>
  </si>
  <si>
    <t xml:space="preserve">10.240.112.100</t>
  </si>
  <si>
    <t xml:space="preserve">Auth Server (ipatieto)</t>
  </si>
  <si>
    <t xml:space="preserve">N/A (auth/NTP)</t>
  </si>
  <si>
    <t xml:space="preserve">172.17.11.253; dual role</t>
  </si>
  <si>
    <t xml:space="preserve">IBM QRadar SIEM</t>
  </si>
  <si>
    <t xml:space="preserve">N/A (logs)</t>
  </si>
  <si>
    <t xml:space="preserve">Encrypted backups</t>
  </si>
  <si>
    <t xml:space="preserve">172.29.0.9</t>
  </si>
  <si>
    <t xml:space="preserve">Admin Workstations (3x)</t>
  </si>
  <si>
    <t xml:space="preserve">N/A (admin access)</t>
  </si>
  <si>
    <t xml:space="preserve">192.168.28.21/29/44</t>
  </si>
  <si>
    <t xml:space="preserve">N/A (network infrastructure)</t>
  </si>
  <si>
    <t xml:space="preserve">Branch/DC site-to-site VPN; added 2026-03-03</t>
  </si>
  <si>
    <t xml:space="preserve">LEGEND:</t>
  </si>
  <si>
    <t xml:space="preserve">Systems that directly process, store, or transmit CHD/SAD</t>
  </si>
  <si>
    <t xml:space="preserve">Systems connected to CDE but not directly handling CHD</t>
  </si>
  <si>
    <t xml:space="preserve">External service provider systems with CDE connectivity</t>
  </si>
  <si>
    <t xml:space="preserve">Cryptographic Inventory — Summary Dashboard</t>
  </si>
  <si>
    <t xml:space="preserve">Generated: February 12, 2026</t>
  </si>
  <si>
    <t xml:space="preserve">KEY METRICS</t>
  </si>
  <si>
    <t xml:space="preserve">Total Inventory Items</t>
  </si>
  <si>
    <t xml:space="preserve">CDE Systems</t>
  </si>
  <si>
    <t xml:space="preserve">Connected-to Systems</t>
  </si>
  <si>
    <t xml:space="preserve">Third-Party Connections</t>
  </si>
  <si>
    <t xml:space="preserve">CDE-flagged Items (Yes)</t>
  </si>
  <si>
    <t xml:space="preserve">Compliant Items</t>
  </si>
  <si>
    <t xml:space="preserve">Non-Compliant Items</t>
  </si>
  <si>
    <t xml:space="preserve">Exception Items</t>
  </si>
  <si>
    <t xml:space="preserve">Using TLS 1.3 (any)</t>
  </si>
  <si>
    <t xml:space="preserve">Using TLS 1.2 Only</t>
  </si>
  <si>
    <t xml:space="preserve">Certificates Expiring ≤90 Days</t>
  </si>
  <si>
    <t xml:space="preserve">BREAKDOWN BY COMPONENT TYPE</t>
  </si>
  <si>
    <t xml:space="preserve">Count</t>
  </si>
  <si>
    <t xml:space="preserve">CDE-flagged</t>
  </si>
  <si>
    <t xml:space="preserve">Note: All values auto-calculate from the Cryptographic Inventory sheet.</t>
  </si>
  <si>
    <t xml:space="preserve">Prohibited Protocols and Cipher Suites</t>
  </si>
  <si>
    <t xml:space="preserve">Per Network Security Policy v1.2, Section 6.6.1 &amp; 6.6.3</t>
  </si>
  <si>
    <t xml:space="preserve">PROHIBITED PROTOCOLS</t>
  </si>
  <si>
    <t xml:space="preserve">Protocol</t>
  </si>
  <si>
    <t xml:space="preserve">Reason for Prohibition</t>
  </si>
  <si>
    <t xml:space="preserve">CVE / Reference</t>
  </si>
  <si>
    <t xml:space="preserve">Status</t>
  </si>
  <si>
    <t xml:space="preserve">SSL 2.0</t>
  </si>
  <si>
    <t xml:space="preserve">Fundamentally broken protocol</t>
  </si>
  <si>
    <t xml:space="preserve">CVE-2016-0800 (DROWN)</t>
  </si>
  <si>
    <t xml:space="preserve">MUST be disabled</t>
  </si>
  <si>
    <t xml:space="preserve">SSL 3.0</t>
  </si>
  <si>
    <t xml:space="preserve">POODLE vulnerability</t>
  </si>
  <si>
    <t xml:space="preserve">CVE-2014-3566</t>
  </si>
  <si>
    <t xml:space="preserve">TLS 1.0</t>
  </si>
  <si>
    <t xml:space="preserve">Deprecated by PCI DSS; known weaknesses</t>
  </si>
  <si>
    <t xml:space="preserve">PCI DSS v4.0</t>
  </si>
  <si>
    <t xml:space="preserve">TLS 1.1</t>
  </si>
  <si>
    <t xml:space="preserve">Deprecated by PCI DSS; weak cipher support</t>
  </si>
  <si>
    <t xml:space="preserve">PCI DSS v4.0 / RFC 8996</t>
  </si>
  <si>
    <t xml:space="preserve">PROHIBITED CIPHER SUITE CATEGORIES</t>
  </si>
  <si>
    <t xml:space="preserve">Category</t>
  </si>
  <si>
    <t xml:space="preserve">Pattern / Examples</t>
  </si>
  <si>
    <t xml:space="preserve">Reason</t>
  </si>
  <si>
    <t xml:space="preserve">NULL encryption</t>
  </si>
  <si>
    <t xml:space="preserve">*_NULL_*</t>
  </si>
  <si>
    <t xml:space="preserve">No encryption — data in plaintext</t>
  </si>
  <si>
    <t xml:space="preserve">DES / 3DES / RC4</t>
  </si>
  <si>
    <t xml:space="preserve">DES-CBC, 3DES, RC4-*</t>
  </si>
  <si>
    <t xml:space="preserve">Weak/broken algorithms</t>
  </si>
  <si>
    <t xml:space="preserve">MD5 authentication</t>
  </si>
  <si>
    <t xml:space="preserve">*_MD5</t>
  </si>
  <si>
    <t xml:space="preserve">MD5 collision vulnerabilities</t>
  </si>
  <si>
    <t xml:space="preserve">Anonymous key exchange</t>
  </si>
  <si>
    <t xml:space="preserve">*_anon_*, *_aNULL_*</t>
  </si>
  <si>
    <t xml:space="preserve">No authentication — MitM risk</t>
  </si>
  <si>
    <t xml:space="preserve">Export-grade ciphers</t>
  </si>
  <si>
    <t xml:space="preserve">*_EXPORT_*</t>
  </si>
  <si>
    <t xml:space="preserve">Intentionally weakened (40/56-bit)</t>
  </si>
  <si>
    <t xml:space="preserve">Non-PFS ciphers</t>
  </si>
  <si>
    <t xml:space="preserve">RSA key exchange (non-ECDHE/DHE)</t>
  </si>
  <si>
    <t xml:space="preserve">No forward secrecy</t>
  </si>
  <si>
    <t xml:space="preserve">Cryptographic Inventory — Review &amp; Change Log</t>
  </si>
  <si>
    <t xml:space="preserve">Reviewer</t>
  </si>
  <si>
    <t xml:space="preserve">Type of Review</t>
  </si>
  <si>
    <t xml:space="preserve">Changes Made</t>
  </si>
  <si>
    <t xml:space="preserve">Systems Affected</t>
  </si>
  <si>
    <t xml:space="preserve">Next Action</t>
  </si>
  <si>
    <t xml:space="preserve">Annual Review (Full)</t>
  </si>
  <si>
    <t xml:space="preserve">Initial inventory created; 20 systems documented per PCI Scoping v1.1</t>
  </si>
  <si>
    <t xml:space="preserve">All CIR-001 through CIR-020</t>
  </si>
  <si>
    <t xml:space="preserve">Quarterly review — April 2026</t>
  </si>
  <si>
    <t xml:space="preserve">Gergely Giret (PCI Consultant)</t>
  </si>
  <si>
    <t xml:space="preserve">Gap Remediation</t>
  </si>
  <si>
    <t xml:space="preserve">Added CIR-021 (FortiGate IPSec VPN); aligned with Network_Protocol_Policy_appendix_v1.1 — 3DES removed, AES-256-CBC+SHA-256 (IKEv2) enforced</t>
  </si>
  <si>
    <t xml:space="preserve">CIR-021 (new)</t>
  </si>
  <si>
    <t xml:space="preserve">Pending — Network Admin Team</t>
  </si>
  <si>
    <t xml:space="preserve">Confirm FortiGate IKEv2/AES-256 config via firewall audit; verify no 3DES phase remains active</t>
  </si>
  <si>
    <t xml:space="preserve">SCHEDULED REVIEWS</t>
  </si>
  <si>
    <t xml:space="preserve">Review Type</t>
  </si>
  <si>
    <t xml:space="preserve">Frequency</t>
  </si>
  <si>
    <t xml:space="preserve">Next Due Date</t>
  </si>
  <si>
    <t xml:space="preserve">Responsible</t>
  </si>
  <si>
    <t xml:space="preserve">Annual Comprehensive Review</t>
  </si>
  <si>
    <t xml:space="preserve">Every 12 months</t>
  </si>
  <si>
    <t xml:space="preserve">Quarterly Monitoring Review</t>
  </si>
  <si>
    <t xml:space="preserve">Every 3 months</t>
  </si>
  <si>
    <t xml:space="preserve">April 2026</t>
  </si>
  <si>
    <t xml:space="preserve">Vulnerability-Triggered Review</t>
  </si>
  <si>
    <t xml:space="preserve">As needed (within 24h)</t>
  </si>
  <si>
    <t xml:space="preserve">Configuration Change Review</t>
  </si>
  <si>
    <t xml:space="preserve">Per change</t>
  </si>
  <si>
    <t xml:space="preserve">Cryptographic Standard — Exception Register</t>
  </si>
  <si>
    <t xml:space="preserve">Exception ID</t>
  </si>
  <si>
    <t xml:space="preserve">System (CIR Ref)</t>
  </si>
  <si>
    <t xml:space="preserve">Standard Deviation</t>
  </si>
  <si>
    <t xml:space="preserve">Business Justification</t>
  </si>
  <si>
    <t xml:space="preserve">Risk Assessment</t>
  </si>
  <si>
    <t xml:space="preserve">Compensating Controls</t>
  </si>
  <si>
    <t xml:space="preserve">Expiry Date</t>
  </si>
  <si>
    <t xml:space="preserve">EXC-001</t>
  </si>
  <si>
    <t xml:space="preserve">CIR-005
(POS Terminals)</t>
  </si>
  <si>
    <t xml:space="preserve">TLS 1.2 instead of TLS 1.3</t>
  </si>
  <si>
    <t xml:space="preserve">Terminal firmware does not yet support TLS 1.3; firmware upgrade scheduled for Q3 2026</t>
  </si>
  <si>
    <t xml:space="preserve">Low — TLS 1.2 with approved GCM cipher suites is still PCI DSS compliant; PFS enabled</t>
  </si>
  <si>
    <t xml:space="preserve">Only approved GCM cipher suites enabled; firmware upgrade plan in place; quarterly review of terminal crypto config</t>
  </si>
  <si>
    <t xml:space="preserve">Technical Board — 2026-01-10</t>
  </si>
  <si>
    <t xml:space="preserve">EXC-002</t>
  </si>
  <si>
    <t xml:space="preserve">CIR-001, CIR-002, CIR-003
(Tieto RTPS/CMS/Fraud)</t>
  </si>
  <si>
    <t xml:space="preserve">Tieto platform does not yet support TLS 1.3; vendor roadmap indicates Q4 2026 availability</t>
  </si>
  <si>
    <t xml:space="preserve">Low — TLS 1.2 with ECDHE+AES-256-GCM is compliant; PFS enforced; no weak ciphers</t>
  </si>
  <si>
    <t xml:space="preserve">Vendor upgrade tracking; only approved cipher suites; regular vulnerability scanning</t>
  </si>
  <si>
    <t xml:space="preserve">EXC-003</t>
  </si>
  <si>
    <t xml:space="preserve">CIR-012, CIR-013, CIR-014
(MC/VISA/UPI 3DS)</t>
  </si>
  <si>
    <t xml:space="preserve">Cipher suites dictated by card scheme</t>
  </si>
  <si>
    <t xml:space="preserve">Mastercard, VISA, and UPI specify their own TLS configuration requirements</t>
  </si>
  <si>
    <t xml:space="preserve">Low — Card scheme specifications meet or exceed PCI DSS minimum requirements</t>
  </si>
  <si>
    <t xml:space="preserve">Compliance verified through card scheme security audits; configurations not modifiable by Ipoteka Bank</t>
  </si>
  <si>
    <t xml:space="preserve">Permanent (scheme requirement)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</si>
</sst>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4A"/>
      <name val="Arial"/>
      <family val="0"/>
      <charset val="1"/>
    </font>
    <font>
      <b val="true"/>
      <sz val="16"/>
      <color rgb="FF2C3E6B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C3E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6227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6E4F0"/>
        <bgColor rgb="FFD9EAD3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  <fill>
      <patternFill patternType="solid">
        <fgColor rgb="FFD9EAD3"/>
        <bgColor rgb="FFD6E4F0"/>
      </patternFill>
    </fill>
    <fill>
      <patternFill patternType="solid">
        <fgColor rgb="FFFFF2E6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F3E8F9"/>
        <bgColor rgb="FFF2F2F2"/>
      </patternFill>
    </fill>
    <fill>
      <patternFill patternType="solid">
        <fgColor rgb="FFFFFFFF"/>
        <bgColor rgb="FFFFF2E6"/>
      </patternFill>
    </fill>
    <fill>
      <patternFill patternType="solid">
        <fgColor rgb="FFCC0000"/>
        <bgColor rgb="FF800000"/>
      </patternFill>
    </fill>
    <fill>
      <patternFill patternType="solid">
        <fgColor rgb="FFF4CCCC"/>
        <bgColor rgb="FFF3E8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>
        <color rgb="FFB0B0B0"/>
      </top>
      <bottom style="thin">
        <color rgb="FFB0B0B0"/>
      </bottom>
      <diagonal/>
    </border>
    <border diagonalUp="false" diagonalDown="false"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76227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2E6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3E8F9"/>
      <rgbColor rgb="FF99CCFF"/>
      <rgbColor rgb="FFFF99CC"/>
      <rgbColor rgb="FFCC99FF"/>
      <rgbColor rgb="FFF4CCCC"/>
      <rgbColor rgb="FF3366FF"/>
      <rgbColor rgb="FF33CCCC"/>
      <rgbColor rgb="FF99CC00"/>
      <rgbColor rgb="FFF1C232"/>
      <rgbColor rgb="FFE69138"/>
      <rgbColor rgb="FFFF6600"/>
      <rgbColor rgb="FF666666"/>
      <rgbColor rgb="FF969696"/>
      <rgbColor rgb="FF003366"/>
      <rgbColor rgb="FF6AA84F"/>
      <rgbColor rgb="FF003300"/>
      <rgbColor rgb="FF333300"/>
      <rgbColor rgb="FF993300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3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18"/>
  </cols>
  <sheetData>
    <row r="3" customFormat="false" ht="26.8" hidden="false" customHeight="false" outlineLevel="0" collapsed="false">
      <c r="B3" s="1" t="s">
        <v>0</v>
      </c>
      <c r="C3" s="1"/>
      <c r="D3" s="1"/>
      <c r="E3" s="1"/>
      <c r="F3" s="1"/>
      <c r="G3" s="1"/>
      <c r="H3" s="1"/>
    </row>
    <row r="5" customFormat="false" ht="19.7" hidden="false" customHeight="false" outlineLevel="0" collapsed="false">
      <c r="B5" s="2" t="s">
        <v>1</v>
      </c>
      <c r="C5" s="2"/>
      <c r="D5" s="2"/>
      <c r="E5" s="2"/>
      <c r="F5" s="2"/>
      <c r="G5" s="2"/>
      <c r="H5" s="2"/>
    </row>
    <row r="7" customFormat="false" ht="15" hidden="false" customHeight="false" outlineLevel="0" collapsed="false">
      <c r="B7" s="3" t="s">
        <v>2</v>
      </c>
      <c r="C7" s="3"/>
      <c r="D7" s="3"/>
      <c r="E7" s="3"/>
      <c r="F7" s="3"/>
      <c r="G7" s="3"/>
      <c r="H7" s="3"/>
    </row>
    <row r="10" customFormat="false" ht="15" hidden="false" customHeight="false" outlineLevel="0" collapsed="false">
      <c r="C10" s="4" t="s">
        <v>3</v>
      </c>
      <c r="D10" s="5" t="s">
        <v>4</v>
      </c>
      <c r="E10" s="5"/>
      <c r="F10" s="5"/>
    </row>
    <row r="11" customFormat="false" ht="15" hidden="false" customHeight="false" outlineLevel="0" collapsed="false">
      <c r="C11" s="4" t="s">
        <v>5</v>
      </c>
      <c r="D11" s="5" t="s">
        <v>6</v>
      </c>
      <c r="E11" s="5"/>
      <c r="F11" s="5"/>
    </row>
    <row r="12" customFormat="false" ht="15" hidden="false" customHeight="false" outlineLevel="0" collapsed="false">
      <c r="C12" s="4" t="s">
        <v>7</v>
      </c>
      <c r="D12" s="5" t="s">
        <v>8</v>
      </c>
      <c r="E12" s="5"/>
      <c r="F12" s="5"/>
    </row>
    <row r="13" customFormat="false" ht="15" hidden="false" customHeight="false" outlineLevel="0" collapsed="false">
      <c r="C13" s="4" t="s">
        <v>9</v>
      </c>
      <c r="D13" s="5" t="s">
        <v>10</v>
      </c>
      <c r="E13" s="5"/>
      <c r="F13" s="5"/>
    </row>
    <row r="14" customFormat="false" ht="15" hidden="false" customHeight="false" outlineLevel="0" collapsed="false">
      <c r="C14" s="4" t="s">
        <v>11</v>
      </c>
      <c r="D14" s="5" t="s">
        <v>12</v>
      </c>
      <c r="E14" s="5"/>
      <c r="F14" s="5"/>
    </row>
    <row r="15" customFormat="false" ht="15" hidden="false" customHeight="false" outlineLevel="0" collapsed="false">
      <c r="C15" s="4" t="s">
        <v>13</v>
      </c>
      <c r="D15" s="5" t="s">
        <v>14</v>
      </c>
      <c r="E15" s="5"/>
      <c r="F15" s="5"/>
    </row>
    <row r="16" customFormat="false" ht="15" hidden="false" customHeight="false" outlineLevel="0" collapsed="false">
      <c r="C16" s="4" t="s">
        <v>15</v>
      </c>
      <c r="D16" s="5" t="s">
        <v>16</v>
      </c>
      <c r="E16" s="5"/>
      <c r="F16" s="5"/>
    </row>
    <row r="17" customFormat="false" ht="15" hidden="false" customHeight="false" outlineLevel="0" collapsed="false">
      <c r="C17" s="4" t="s">
        <v>17</v>
      </c>
      <c r="D17" s="5" t="s">
        <v>18</v>
      </c>
      <c r="E17" s="5"/>
      <c r="F17" s="5"/>
    </row>
    <row r="18" customFormat="false" ht="15" hidden="false" customHeight="false" outlineLevel="0" collapsed="false">
      <c r="C18" s="4" t="s">
        <v>19</v>
      </c>
      <c r="D18" s="5" t="s">
        <v>20</v>
      </c>
      <c r="E18" s="5"/>
      <c r="F18" s="5"/>
    </row>
    <row r="19" customFormat="false" ht="15" hidden="false" customHeight="false" outlineLevel="0" collapsed="false">
      <c r="C19" s="4" t="s">
        <v>21</v>
      </c>
      <c r="D19" s="5" t="s">
        <v>22</v>
      </c>
      <c r="E19" s="5"/>
      <c r="F19" s="5"/>
    </row>
    <row r="23" customFormat="false" ht="15" hidden="false" customHeight="false" outlineLevel="0" collapsed="false">
      <c r="C23" s="6" t="s">
        <v>23</v>
      </c>
    </row>
    <row r="24" customFormat="false" ht="15" hidden="false" customHeight="false" outlineLevel="0" collapsed="false">
      <c r="C24" s="7" t="s">
        <v>24</v>
      </c>
      <c r="D24" s="7" t="s">
        <v>25</v>
      </c>
      <c r="E24" s="7" t="s">
        <v>26</v>
      </c>
      <c r="F24" s="7" t="s">
        <v>27</v>
      </c>
    </row>
    <row r="25" customFormat="false" ht="15" hidden="false" customHeight="false" outlineLevel="0" collapsed="false">
      <c r="C25" s="8" t="s">
        <v>28</v>
      </c>
      <c r="D25" s="8" t="s">
        <v>29</v>
      </c>
      <c r="E25" s="8"/>
      <c r="F25" s="8"/>
    </row>
    <row r="26" customFormat="false" ht="15" hidden="false" customHeight="false" outlineLevel="0" collapsed="false">
      <c r="C26" s="9" t="s">
        <v>30</v>
      </c>
      <c r="D26" s="9" t="s">
        <v>14</v>
      </c>
      <c r="E26" s="9"/>
      <c r="F26" s="9"/>
    </row>
    <row r="27" customFormat="false" ht="15" hidden="false" customHeight="false" outlineLevel="0" collapsed="false">
      <c r="C27" s="8" t="s">
        <v>15</v>
      </c>
      <c r="D27" s="8" t="s">
        <v>16</v>
      </c>
      <c r="E27" s="8"/>
      <c r="F27" s="8"/>
    </row>
  </sheetData>
  <mergeCells count="13">
    <mergeCell ref="B3:H3"/>
    <mergeCell ref="B5:H5"/>
    <mergeCell ref="B7:H7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6B"/>
    <pageSetUpPr fitToPage="false"/>
  </sheetPr>
  <dimension ref="A1:T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2"/>
    <col collapsed="false" customWidth="true" hidden="false" outlineLevel="0" max="8" min="8" style="0" width="3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5" min="14" style="0" width="9"/>
    <col collapsed="false" customWidth="true" hidden="false" outlineLevel="0" max="18" min="16" style="0" width="13"/>
    <col collapsed="false" customWidth="true" hidden="false" outlineLevel="0" max="19" min="19" style="0" width="20"/>
    <col collapsed="false" customWidth="true" hidden="false" outlineLevel="0" max="20" min="20" style="0" width="30"/>
  </cols>
  <sheetData>
    <row r="1" customFormat="false" ht="39.7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</row>
    <row r="2" customFormat="false" ht="54.75" hidden="false" customHeight="true" outlineLevel="0" collapsed="false">
      <c r="A2" s="9" t="s">
        <v>51</v>
      </c>
      <c r="B2" s="10" t="s">
        <v>52</v>
      </c>
      <c r="C2" s="10" t="s">
        <v>53</v>
      </c>
      <c r="D2" s="9" t="s">
        <v>54</v>
      </c>
      <c r="E2" s="10" t="s">
        <v>55</v>
      </c>
      <c r="F2" s="9" t="s">
        <v>56</v>
      </c>
      <c r="G2" s="10" t="s">
        <v>57</v>
      </c>
      <c r="H2" s="10" t="s">
        <v>58</v>
      </c>
      <c r="I2" s="9" t="s">
        <v>59</v>
      </c>
      <c r="J2" s="9" t="s">
        <v>60</v>
      </c>
      <c r="K2" s="9" t="s">
        <v>61</v>
      </c>
      <c r="L2" s="10" t="s">
        <v>62</v>
      </c>
      <c r="M2" s="10" t="s">
        <v>63</v>
      </c>
      <c r="N2" s="9" t="s">
        <v>64</v>
      </c>
      <c r="O2" s="9" t="s">
        <v>59</v>
      </c>
      <c r="P2" s="11" t="s">
        <v>65</v>
      </c>
      <c r="Q2" s="9" t="s">
        <v>66</v>
      </c>
      <c r="R2" s="9" t="s">
        <v>67</v>
      </c>
      <c r="S2" s="10" t="s">
        <v>68</v>
      </c>
      <c r="T2" s="10" t="s">
        <v>69</v>
      </c>
    </row>
    <row r="3" customFormat="false" ht="54.75" hidden="false" customHeight="true" outlineLevel="0" collapsed="false">
      <c r="A3" s="12" t="s">
        <v>70</v>
      </c>
      <c r="B3" s="13" t="s">
        <v>71</v>
      </c>
      <c r="C3" s="13" t="s">
        <v>53</v>
      </c>
      <c r="D3" s="12" t="s">
        <v>54</v>
      </c>
      <c r="E3" s="13" t="s">
        <v>72</v>
      </c>
      <c r="F3" s="12" t="s">
        <v>56</v>
      </c>
      <c r="G3" s="13" t="s">
        <v>57</v>
      </c>
      <c r="H3" s="13" t="s">
        <v>73</v>
      </c>
      <c r="I3" s="12" t="s">
        <v>59</v>
      </c>
      <c r="J3" s="12" t="s">
        <v>60</v>
      </c>
      <c r="K3" s="12" t="s">
        <v>61</v>
      </c>
      <c r="L3" s="13" t="s">
        <v>62</v>
      </c>
      <c r="M3" s="13" t="s">
        <v>63</v>
      </c>
      <c r="N3" s="12" t="s">
        <v>64</v>
      </c>
      <c r="O3" s="12" t="s">
        <v>59</v>
      </c>
      <c r="P3" s="11" t="s">
        <v>65</v>
      </c>
      <c r="Q3" s="12" t="s">
        <v>66</v>
      </c>
      <c r="R3" s="12" t="s">
        <v>67</v>
      </c>
      <c r="S3" s="13" t="s">
        <v>68</v>
      </c>
      <c r="T3" s="13" t="s">
        <v>74</v>
      </c>
    </row>
    <row r="4" customFormat="false" ht="54.75" hidden="false" customHeight="true" outlineLevel="0" collapsed="false">
      <c r="A4" s="9" t="s">
        <v>75</v>
      </c>
      <c r="B4" s="10" t="s">
        <v>76</v>
      </c>
      <c r="C4" s="10" t="s">
        <v>53</v>
      </c>
      <c r="D4" s="9" t="s">
        <v>54</v>
      </c>
      <c r="E4" s="10" t="s">
        <v>77</v>
      </c>
      <c r="F4" s="9" t="s">
        <v>56</v>
      </c>
      <c r="G4" s="10" t="s">
        <v>78</v>
      </c>
      <c r="H4" s="10" t="s">
        <v>79</v>
      </c>
      <c r="I4" s="9" t="s">
        <v>59</v>
      </c>
      <c r="J4" s="9" t="s">
        <v>60</v>
      </c>
      <c r="K4" s="9" t="s">
        <v>61</v>
      </c>
      <c r="L4" s="10" t="s">
        <v>62</v>
      </c>
      <c r="M4" s="10" t="s">
        <v>63</v>
      </c>
      <c r="N4" s="9" t="s">
        <v>64</v>
      </c>
      <c r="O4" s="9" t="s">
        <v>59</v>
      </c>
      <c r="P4" s="11" t="s">
        <v>65</v>
      </c>
      <c r="Q4" s="9" t="s">
        <v>66</v>
      </c>
      <c r="R4" s="9" t="s">
        <v>67</v>
      </c>
      <c r="S4" s="10" t="s">
        <v>68</v>
      </c>
      <c r="T4" s="10" t="s">
        <v>80</v>
      </c>
    </row>
    <row r="5" customFormat="false" ht="54.75" hidden="false" customHeight="true" outlineLevel="0" collapsed="false">
      <c r="A5" s="12" t="s">
        <v>81</v>
      </c>
      <c r="B5" s="13" t="s">
        <v>82</v>
      </c>
      <c r="C5" s="13" t="s">
        <v>53</v>
      </c>
      <c r="D5" s="12" t="s">
        <v>54</v>
      </c>
      <c r="E5" s="13" t="s">
        <v>83</v>
      </c>
      <c r="F5" s="12" t="s">
        <v>56</v>
      </c>
      <c r="G5" s="13" t="s">
        <v>84</v>
      </c>
      <c r="H5" s="13" t="s">
        <v>85</v>
      </c>
      <c r="I5" s="12" t="s">
        <v>59</v>
      </c>
      <c r="J5" s="12" t="s">
        <v>86</v>
      </c>
      <c r="K5" s="12" t="s">
        <v>61</v>
      </c>
      <c r="L5" s="13" t="s">
        <v>62</v>
      </c>
      <c r="M5" s="13" t="s">
        <v>87</v>
      </c>
      <c r="N5" s="12" t="s">
        <v>64</v>
      </c>
      <c r="O5" s="12" t="s">
        <v>59</v>
      </c>
      <c r="P5" s="11" t="s">
        <v>65</v>
      </c>
      <c r="Q5" s="12" t="s">
        <v>66</v>
      </c>
      <c r="R5" s="12" t="s">
        <v>67</v>
      </c>
      <c r="S5" s="13" t="s">
        <v>68</v>
      </c>
      <c r="T5" s="13" t="s">
        <v>88</v>
      </c>
    </row>
    <row r="6" customFormat="false" ht="54.75" hidden="false" customHeight="true" outlineLevel="0" collapsed="false">
      <c r="A6" s="9" t="s">
        <v>89</v>
      </c>
      <c r="B6" s="10" t="s">
        <v>90</v>
      </c>
      <c r="C6" s="10" t="s">
        <v>91</v>
      </c>
      <c r="D6" s="9" t="s">
        <v>54</v>
      </c>
      <c r="E6" s="10" t="s">
        <v>92</v>
      </c>
      <c r="F6" s="9" t="s">
        <v>56</v>
      </c>
      <c r="G6" s="10" t="s">
        <v>84</v>
      </c>
      <c r="H6" s="10" t="s">
        <v>93</v>
      </c>
      <c r="I6" s="9" t="s">
        <v>59</v>
      </c>
      <c r="J6" s="9" t="s">
        <v>86</v>
      </c>
      <c r="K6" s="9" t="s">
        <v>61</v>
      </c>
      <c r="L6" s="10" t="s">
        <v>94</v>
      </c>
      <c r="M6" s="10" t="s">
        <v>95</v>
      </c>
      <c r="N6" s="9" t="s">
        <v>64</v>
      </c>
      <c r="O6" s="9" t="s">
        <v>59</v>
      </c>
      <c r="P6" s="11" t="s">
        <v>65</v>
      </c>
      <c r="Q6" s="9" t="s">
        <v>66</v>
      </c>
      <c r="R6" s="9" t="s">
        <v>67</v>
      </c>
      <c r="S6" s="10" t="s">
        <v>96</v>
      </c>
      <c r="T6" s="10" t="s">
        <v>97</v>
      </c>
    </row>
    <row r="7" customFormat="false" ht="54.75" hidden="false" customHeight="true" outlineLevel="0" collapsed="false">
      <c r="A7" s="12" t="s">
        <v>98</v>
      </c>
      <c r="B7" s="13" t="s">
        <v>99</v>
      </c>
      <c r="C7" s="13" t="s">
        <v>53</v>
      </c>
      <c r="D7" s="12" t="s">
        <v>54</v>
      </c>
      <c r="E7" s="13" t="s">
        <v>100</v>
      </c>
      <c r="F7" s="12" t="s">
        <v>56</v>
      </c>
      <c r="G7" s="13" t="s">
        <v>57</v>
      </c>
      <c r="H7" s="13" t="s">
        <v>101</v>
      </c>
      <c r="I7" s="12" t="s">
        <v>59</v>
      </c>
      <c r="J7" s="12" t="s">
        <v>60</v>
      </c>
      <c r="K7" s="12" t="s">
        <v>61</v>
      </c>
      <c r="L7" s="13" t="s">
        <v>62</v>
      </c>
      <c r="M7" s="13" t="s">
        <v>102</v>
      </c>
      <c r="N7" s="12" t="s">
        <v>64</v>
      </c>
      <c r="O7" s="12" t="s">
        <v>59</v>
      </c>
      <c r="P7" s="11" t="s">
        <v>65</v>
      </c>
      <c r="Q7" s="12" t="s">
        <v>66</v>
      </c>
      <c r="R7" s="12" t="s">
        <v>67</v>
      </c>
      <c r="S7" s="13" t="s">
        <v>68</v>
      </c>
      <c r="T7" s="13" t="s">
        <v>103</v>
      </c>
    </row>
    <row r="8" customFormat="false" ht="54.75" hidden="false" customHeight="true" outlineLevel="0" collapsed="false">
      <c r="A8" s="9" t="s">
        <v>104</v>
      </c>
      <c r="B8" s="10" t="s">
        <v>105</v>
      </c>
      <c r="C8" s="10" t="s">
        <v>106</v>
      </c>
      <c r="D8" s="9" t="s">
        <v>107</v>
      </c>
      <c r="E8" s="10" t="s">
        <v>108</v>
      </c>
      <c r="F8" s="9" t="s">
        <v>109</v>
      </c>
      <c r="G8" s="10" t="s">
        <v>110</v>
      </c>
      <c r="H8" s="10" t="s">
        <v>111</v>
      </c>
      <c r="I8" s="9" t="s">
        <v>59</v>
      </c>
      <c r="J8" s="9" t="s">
        <v>112</v>
      </c>
      <c r="K8" s="9" t="s">
        <v>113</v>
      </c>
      <c r="L8" s="10" t="s">
        <v>114</v>
      </c>
      <c r="M8" s="10" t="s">
        <v>115</v>
      </c>
      <c r="N8" s="9" t="s">
        <v>59</v>
      </c>
      <c r="O8" s="9" t="s">
        <v>59</v>
      </c>
      <c r="P8" s="11" t="s">
        <v>65</v>
      </c>
      <c r="Q8" s="9" t="s">
        <v>66</v>
      </c>
      <c r="R8" s="9" t="s">
        <v>67</v>
      </c>
      <c r="S8" s="10" t="s">
        <v>68</v>
      </c>
      <c r="T8" s="10" t="s">
        <v>116</v>
      </c>
    </row>
    <row r="9" customFormat="false" ht="54.75" hidden="false" customHeight="true" outlineLevel="0" collapsed="false">
      <c r="A9" s="14" t="s">
        <v>117</v>
      </c>
      <c r="B9" s="15" t="s">
        <v>118</v>
      </c>
      <c r="C9" s="15" t="s">
        <v>106</v>
      </c>
      <c r="D9" s="14" t="s">
        <v>107</v>
      </c>
      <c r="E9" s="15" t="s">
        <v>119</v>
      </c>
      <c r="F9" s="14" t="s">
        <v>56</v>
      </c>
      <c r="G9" s="15" t="s">
        <v>57</v>
      </c>
      <c r="H9" s="15" t="s">
        <v>120</v>
      </c>
      <c r="I9" s="14" t="s">
        <v>59</v>
      </c>
      <c r="J9" s="14" t="s">
        <v>60</v>
      </c>
      <c r="K9" s="14" t="s">
        <v>61</v>
      </c>
      <c r="L9" s="15" t="s">
        <v>114</v>
      </c>
      <c r="M9" s="15" t="s">
        <v>121</v>
      </c>
      <c r="N9" s="14" t="s">
        <v>59</v>
      </c>
      <c r="O9" s="14" t="s">
        <v>59</v>
      </c>
      <c r="P9" s="11" t="s">
        <v>65</v>
      </c>
      <c r="Q9" s="14" t="s">
        <v>66</v>
      </c>
      <c r="R9" s="14" t="s">
        <v>67</v>
      </c>
      <c r="S9" s="15" t="s">
        <v>68</v>
      </c>
      <c r="T9" s="15" t="s">
        <v>122</v>
      </c>
    </row>
    <row r="10" customFormat="false" ht="54.75" hidden="false" customHeight="true" outlineLevel="0" collapsed="false">
      <c r="A10" s="9" t="s">
        <v>123</v>
      </c>
      <c r="B10" s="10" t="s">
        <v>124</v>
      </c>
      <c r="C10" s="10" t="s">
        <v>125</v>
      </c>
      <c r="D10" s="9" t="s">
        <v>126</v>
      </c>
      <c r="E10" s="10" t="s">
        <v>127</v>
      </c>
      <c r="F10" s="9" t="s">
        <v>56</v>
      </c>
      <c r="G10" s="10" t="s">
        <v>78</v>
      </c>
      <c r="H10" s="10" t="s">
        <v>128</v>
      </c>
      <c r="I10" s="9" t="s">
        <v>59</v>
      </c>
      <c r="J10" s="9" t="s">
        <v>60</v>
      </c>
      <c r="K10" s="9" t="s">
        <v>61</v>
      </c>
      <c r="L10" s="10" t="s">
        <v>129</v>
      </c>
      <c r="M10" s="10" t="s">
        <v>130</v>
      </c>
      <c r="N10" s="9" t="s">
        <v>64</v>
      </c>
      <c r="O10" s="9" t="s">
        <v>59</v>
      </c>
      <c r="P10" s="11" t="s">
        <v>65</v>
      </c>
      <c r="Q10" s="9" t="s">
        <v>66</v>
      </c>
      <c r="R10" s="9" t="s">
        <v>67</v>
      </c>
      <c r="S10" s="10" t="s">
        <v>68</v>
      </c>
      <c r="T10" s="10" t="s">
        <v>131</v>
      </c>
    </row>
    <row r="11" customFormat="false" ht="54.75" hidden="false" customHeight="true" outlineLevel="0" collapsed="false">
      <c r="A11" s="16" t="s">
        <v>132</v>
      </c>
      <c r="B11" s="17" t="s">
        <v>133</v>
      </c>
      <c r="C11" s="17" t="s">
        <v>125</v>
      </c>
      <c r="D11" s="16" t="s">
        <v>126</v>
      </c>
      <c r="E11" s="17" t="s">
        <v>134</v>
      </c>
      <c r="F11" s="16" t="s">
        <v>56</v>
      </c>
      <c r="G11" s="17" t="s">
        <v>78</v>
      </c>
      <c r="H11" s="17" t="s">
        <v>135</v>
      </c>
      <c r="I11" s="16" t="s">
        <v>59</v>
      </c>
      <c r="J11" s="16" t="s">
        <v>60</v>
      </c>
      <c r="K11" s="16" t="s">
        <v>61</v>
      </c>
      <c r="L11" s="17" t="s">
        <v>129</v>
      </c>
      <c r="M11" s="17" t="s">
        <v>130</v>
      </c>
      <c r="N11" s="16" t="s">
        <v>64</v>
      </c>
      <c r="O11" s="16" t="s">
        <v>59</v>
      </c>
      <c r="P11" s="11" t="s">
        <v>65</v>
      </c>
      <c r="Q11" s="16" t="s">
        <v>66</v>
      </c>
      <c r="R11" s="16" t="s">
        <v>67</v>
      </c>
      <c r="S11" s="17" t="s">
        <v>68</v>
      </c>
      <c r="T11" s="17" t="s">
        <v>136</v>
      </c>
    </row>
    <row r="12" customFormat="false" ht="54.75" hidden="false" customHeight="true" outlineLevel="0" collapsed="false">
      <c r="A12" s="9" t="s">
        <v>137</v>
      </c>
      <c r="B12" s="10" t="s">
        <v>138</v>
      </c>
      <c r="C12" s="10" t="s">
        <v>125</v>
      </c>
      <c r="D12" s="9" t="s">
        <v>126</v>
      </c>
      <c r="E12" s="10" t="s">
        <v>139</v>
      </c>
      <c r="F12" s="9" t="s">
        <v>56</v>
      </c>
      <c r="G12" s="10" t="s">
        <v>78</v>
      </c>
      <c r="H12" s="10" t="s">
        <v>140</v>
      </c>
      <c r="I12" s="9" t="s">
        <v>59</v>
      </c>
      <c r="J12" s="9" t="s">
        <v>60</v>
      </c>
      <c r="K12" s="9" t="s">
        <v>61</v>
      </c>
      <c r="L12" s="10" t="s">
        <v>129</v>
      </c>
      <c r="M12" s="10" t="s">
        <v>130</v>
      </c>
      <c r="N12" s="9" t="s">
        <v>64</v>
      </c>
      <c r="O12" s="9" t="s">
        <v>59</v>
      </c>
      <c r="P12" s="11" t="s">
        <v>65</v>
      </c>
      <c r="Q12" s="9" t="s">
        <v>66</v>
      </c>
      <c r="R12" s="9" t="s">
        <v>67</v>
      </c>
      <c r="S12" s="10" t="s">
        <v>68</v>
      </c>
      <c r="T12" s="10" t="s">
        <v>141</v>
      </c>
    </row>
    <row r="13" customFormat="false" ht="54.75" hidden="false" customHeight="true" outlineLevel="0" collapsed="false">
      <c r="A13" s="16" t="s">
        <v>142</v>
      </c>
      <c r="B13" s="17" t="s">
        <v>143</v>
      </c>
      <c r="C13" s="17" t="s">
        <v>144</v>
      </c>
      <c r="D13" s="16" t="s">
        <v>126</v>
      </c>
      <c r="E13" s="17" t="s">
        <v>145</v>
      </c>
      <c r="F13" s="16" t="s">
        <v>146</v>
      </c>
      <c r="G13" s="17" t="s">
        <v>147</v>
      </c>
      <c r="H13" s="17" t="s">
        <v>148</v>
      </c>
      <c r="I13" s="16" t="s">
        <v>59</v>
      </c>
      <c r="J13" s="16" t="s">
        <v>149</v>
      </c>
      <c r="K13" s="16" t="s">
        <v>150</v>
      </c>
      <c r="L13" s="17" t="s">
        <v>151</v>
      </c>
      <c r="M13" s="17" t="s">
        <v>152</v>
      </c>
      <c r="N13" s="16" t="s">
        <v>64</v>
      </c>
      <c r="O13" s="16" t="s">
        <v>59</v>
      </c>
      <c r="P13" s="11" t="s">
        <v>65</v>
      </c>
      <c r="Q13" s="16" t="s">
        <v>66</v>
      </c>
      <c r="R13" s="16" t="s">
        <v>67</v>
      </c>
      <c r="S13" s="17" t="s">
        <v>68</v>
      </c>
      <c r="T13" s="17" t="s">
        <v>153</v>
      </c>
    </row>
    <row r="14" customFormat="false" ht="54.75" hidden="false" customHeight="true" outlineLevel="0" collapsed="false">
      <c r="A14" s="9" t="s">
        <v>154</v>
      </c>
      <c r="B14" s="10" t="s">
        <v>155</v>
      </c>
      <c r="C14" s="10" t="s">
        <v>156</v>
      </c>
      <c r="D14" s="9" t="s">
        <v>126</v>
      </c>
      <c r="E14" s="10" t="s">
        <v>145</v>
      </c>
      <c r="F14" s="9" t="s">
        <v>157</v>
      </c>
      <c r="G14" s="10" t="s">
        <v>158</v>
      </c>
      <c r="H14" s="10" t="s">
        <v>159</v>
      </c>
      <c r="I14" s="9" t="s">
        <v>59</v>
      </c>
      <c r="J14" s="9" t="s">
        <v>149</v>
      </c>
      <c r="K14" s="9" t="s">
        <v>160</v>
      </c>
      <c r="L14" s="10" t="s">
        <v>161</v>
      </c>
      <c r="M14" s="10" t="s">
        <v>162</v>
      </c>
      <c r="N14" s="9" t="s">
        <v>64</v>
      </c>
      <c r="O14" s="9" t="s">
        <v>59</v>
      </c>
      <c r="P14" s="11" t="s">
        <v>65</v>
      </c>
      <c r="Q14" s="9" t="s">
        <v>66</v>
      </c>
      <c r="R14" s="9" t="s">
        <v>67</v>
      </c>
      <c r="S14" s="10" t="s">
        <v>68</v>
      </c>
      <c r="T14" s="10" t="s">
        <v>163</v>
      </c>
    </row>
    <row r="15" customFormat="false" ht="54.75" hidden="false" customHeight="true" outlineLevel="0" collapsed="false">
      <c r="A15" s="16" t="s">
        <v>164</v>
      </c>
      <c r="B15" s="17" t="s">
        <v>165</v>
      </c>
      <c r="C15" s="17" t="s">
        <v>166</v>
      </c>
      <c r="D15" s="16" t="s">
        <v>126</v>
      </c>
      <c r="E15" s="17" t="s">
        <v>145</v>
      </c>
      <c r="F15" s="16" t="s">
        <v>56</v>
      </c>
      <c r="G15" s="17" t="s">
        <v>78</v>
      </c>
      <c r="H15" s="17" t="s">
        <v>167</v>
      </c>
      <c r="I15" s="16" t="s">
        <v>59</v>
      </c>
      <c r="J15" s="16" t="s">
        <v>60</v>
      </c>
      <c r="K15" s="16" t="s">
        <v>61</v>
      </c>
      <c r="L15" s="17" t="s">
        <v>168</v>
      </c>
      <c r="M15" s="17" t="s">
        <v>169</v>
      </c>
      <c r="N15" s="16" t="s">
        <v>64</v>
      </c>
      <c r="O15" s="16" t="s">
        <v>59</v>
      </c>
      <c r="P15" s="11" t="s">
        <v>65</v>
      </c>
      <c r="Q15" s="16" t="s">
        <v>66</v>
      </c>
      <c r="R15" s="16" t="s">
        <v>67</v>
      </c>
      <c r="S15" s="17" t="s">
        <v>68</v>
      </c>
      <c r="T15" s="17" t="s">
        <v>170</v>
      </c>
    </row>
    <row r="16" customFormat="false" ht="54.75" hidden="false" customHeight="true" outlineLevel="0" collapsed="false">
      <c r="A16" s="9" t="s">
        <v>171</v>
      </c>
      <c r="B16" s="10" t="s">
        <v>172</v>
      </c>
      <c r="C16" s="10" t="s">
        <v>173</v>
      </c>
      <c r="D16" s="9" t="s">
        <v>126</v>
      </c>
      <c r="E16" s="10" t="s">
        <v>174</v>
      </c>
      <c r="F16" s="9" t="s">
        <v>56</v>
      </c>
      <c r="G16" s="10" t="s">
        <v>57</v>
      </c>
      <c r="H16" s="10" t="s">
        <v>175</v>
      </c>
      <c r="I16" s="9" t="s">
        <v>59</v>
      </c>
      <c r="J16" s="9" t="s">
        <v>60</v>
      </c>
      <c r="K16" s="9" t="s">
        <v>61</v>
      </c>
      <c r="L16" s="10" t="s">
        <v>176</v>
      </c>
      <c r="M16" s="10" t="s">
        <v>177</v>
      </c>
      <c r="N16" s="9" t="s">
        <v>64</v>
      </c>
      <c r="O16" s="9" t="s">
        <v>59</v>
      </c>
      <c r="P16" s="11" t="s">
        <v>65</v>
      </c>
      <c r="Q16" s="9" t="s">
        <v>66</v>
      </c>
      <c r="R16" s="9" t="s">
        <v>67</v>
      </c>
      <c r="S16" s="10" t="s">
        <v>68</v>
      </c>
      <c r="T16" s="10" t="s">
        <v>178</v>
      </c>
    </row>
    <row r="17" customFormat="false" ht="54.75" hidden="false" customHeight="true" outlineLevel="0" collapsed="false">
      <c r="A17" s="14" t="s">
        <v>179</v>
      </c>
      <c r="B17" s="15" t="s">
        <v>180</v>
      </c>
      <c r="C17" s="15" t="s">
        <v>181</v>
      </c>
      <c r="D17" s="14" t="s">
        <v>107</v>
      </c>
      <c r="E17" s="15" t="s">
        <v>182</v>
      </c>
      <c r="F17" s="14" t="s">
        <v>56</v>
      </c>
      <c r="G17" s="15" t="s">
        <v>78</v>
      </c>
      <c r="H17" s="15" t="s">
        <v>183</v>
      </c>
      <c r="I17" s="14" t="s">
        <v>184</v>
      </c>
      <c r="J17" s="14" t="s">
        <v>60</v>
      </c>
      <c r="K17" s="14" t="s">
        <v>61</v>
      </c>
      <c r="L17" s="15" t="s">
        <v>62</v>
      </c>
      <c r="M17" s="15" t="s">
        <v>185</v>
      </c>
      <c r="N17" s="14" t="s">
        <v>59</v>
      </c>
      <c r="O17" s="14" t="s">
        <v>59</v>
      </c>
      <c r="P17" s="11" t="s">
        <v>65</v>
      </c>
      <c r="Q17" s="14" t="s">
        <v>66</v>
      </c>
      <c r="R17" s="14" t="s">
        <v>67</v>
      </c>
      <c r="S17" s="15" t="s">
        <v>186</v>
      </c>
      <c r="T17" s="15" t="s">
        <v>187</v>
      </c>
    </row>
    <row r="18" customFormat="false" ht="54.75" hidden="false" customHeight="true" outlineLevel="0" collapsed="false">
      <c r="A18" s="9" t="s">
        <v>188</v>
      </c>
      <c r="B18" s="10" t="s">
        <v>189</v>
      </c>
      <c r="C18" s="10" t="s">
        <v>190</v>
      </c>
      <c r="D18" s="9" t="s">
        <v>107</v>
      </c>
      <c r="E18" s="10" t="s">
        <v>191</v>
      </c>
      <c r="F18" s="9" t="s">
        <v>192</v>
      </c>
      <c r="G18" s="10" t="s">
        <v>78</v>
      </c>
      <c r="H18" s="10" t="s">
        <v>193</v>
      </c>
      <c r="I18" s="9" t="s">
        <v>184</v>
      </c>
      <c r="J18" s="9" t="s">
        <v>60</v>
      </c>
      <c r="K18" s="9" t="s">
        <v>61</v>
      </c>
      <c r="L18" s="10" t="s">
        <v>62</v>
      </c>
      <c r="M18" s="10" t="s">
        <v>194</v>
      </c>
      <c r="N18" s="9" t="s">
        <v>64</v>
      </c>
      <c r="O18" s="9" t="s">
        <v>59</v>
      </c>
      <c r="P18" s="11" t="s">
        <v>65</v>
      </c>
      <c r="Q18" s="9" t="s">
        <v>66</v>
      </c>
      <c r="R18" s="9" t="s">
        <v>67</v>
      </c>
      <c r="S18" s="10" t="s">
        <v>68</v>
      </c>
      <c r="T18" s="10" t="s">
        <v>195</v>
      </c>
    </row>
    <row r="19" customFormat="false" ht="54.75" hidden="false" customHeight="true" outlineLevel="0" collapsed="false">
      <c r="A19" s="14" t="s">
        <v>196</v>
      </c>
      <c r="B19" s="15" t="s">
        <v>197</v>
      </c>
      <c r="C19" s="15" t="s">
        <v>198</v>
      </c>
      <c r="D19" s="14" t="s">
        <v>107</v>
      </c>
      <c r="E19" s="15" t="s">
        <v>199</v>
      </c>
      <c r="F19" s="14" t="s">
        <v>56</v>
      </c>
      <c r="G19" s="15" t="s">
        <v>78</v>
      </c>
      <c r="H19" s="15" t="s">
        <v>200</v>
      </c>
      <c r="I19" s="14" t="s">
        <v>184</v>
      </c>
      <c r="J19" s="14" t="s">
        <v>60</v>
      </c>
      <c r="K19" s="14" t="s">
        <v>61</v>
      </c>
      <c r="L19" s="15" t="s">
        <v>62</v>
      </c>
      <c r="M19" s="15" t="s">
        <v>201</v>
      </c>
      <c r="N19" s="14" t="s">
        <v>64</v>
      </c>
      <c r="O19" s="14" t="s">
        <v>59</v>
      </c>
      <c r="P19" s="11" t="s">
        <v>65</v>
      </c>
      <c r="Q19" s="14" t="s">
        <v>66</v>
      </c>
      <c r="R19" s="14" t="s">
        <v>67</v>
      </c>
      <c r="S19" s="15" t="s">
        <v>202</v>
      </c>
      <c r="T19" s="15" t="s">
        <v>203</v>
      </c>
    </row>
    <row r="20" customFormat="false" ht="54.75" hidden="false" customHeight="true" outlineLevel="0" collapsed="false">
      <c r="A20" s="9" t="s">
        <v>204</v>
      </c>
      <c r="B20" s="10" t="s">
        <v>205</v>
      </c>
      <c r="C20" s="10" t="s">
        <v>206</v>
      </c>
      <c r="D20" s="9" t="s">
        <v>107</v>
      </c>
      <c r="E20" s="10" t="s">
        <v>207</v>
      </c>
      <c r="F20" s="9" t="s">
        <v>56</v>
      </c>
      <c r="G20" s="10" t="s">
        <v>57</v>
      </c>
      <c r="H20" s="10" t="s">
        <v>208</v>
      </c>
      <c r="I20" s="9" t="s">
        <v>184</v>
      </c>
      <c r="J20" s="9" t="s">
        <v>60</v>
      </c>
      <c r="K20" s="9" t="s">
        <v>61</v>
      </c>
      <c r="L20" s="10" t="s">
        <v>62</v>
      </c>
      <c r="M20" s="10" t="s">
        <v>209</v>
      </c>
      <c r="N20" s="9" t="s">
        <v>64</v>
      </c>
      <c r="O20" s="9" t="s">
        <v>59</v>
      </c>
      <c r="P20" s="11" t="s">
        <v>65</v>
      </c>
      <c r="Q20" s="9" t="s">
        <v>66</v>
      </c>
      <c r="R20" s="9" t="s">
        <v>67</v>
      </c>
      <c r="S20" s="10" t="s">
        <v>68</v>
      </c>
      <c r="T20" s="10" t="s">
        <v>210</v>
      </c>
    </row>
    <row r="21" customFormat="false" ht="54.75" hidden="false" customHeight="true" outlineLevel="0" collapsed="false">
      <c r="A21" s="14" t="s">
        <v>211</v>
      </c>
      <c r="B21" s="15" t="s">
        <v>212</v>
      </c>
      <c r="C21" s="15" t="s">
        <v>213</v>
      </c>
      <c r="D21" s="14" t="s">
        <v>107</v>
      </c>
      <c r="E21" s="15" t="s">
        <v>214</v>
      </c>
      <c r="F21" s="14" t="s">
        <v>215</v>
      </c>
      <c r="G21" s="15" t="s">
        <v>216</v>
      </c>
      <c r="H21" s="15" t="s">
        <v>217</v>
      </c>
      <c r="I21" s="14" t="s">
        <v>184</v>
      </c>
      <c r="J21" s="14" t="s">
        <v>149</v>
      </c>
      <c r="K21" s="14" t="s">
        <v>61</v>
      </c>
      <c r="L21" s="15" t="s">
        <v>62</v>
      </c>
      <c r="M21" s="15" t="s">
        <v>218</v>
      </c>
      <c r="N21" s="14" t="s">
        <v>59</v>
      </c>
      <c r="O21" s="14" t="s">
        <v>59</v>
      </c>
      <c r="P21" s="11" t="s">
        <v>65</v>
      </c>
      <c r="Q21" s="14" t="s">
        <v>66</v>
      </c>
      <c r="R21" s="14" t="s">
        <v>67</v>
      </c>
      <c r="S21" s="15" t="s">
        <v>68</v>
      </c>
      <c r="T21" s="15" t="s">
        <v>219</v>
      </c>
    </row>
    <row r="22" customFormat="false" ht="54.75" hidden="false" customHeight="true" outlineLevel="0" collapsed="false">
      <c r="A22" s="18" t="s">
        <v>220</v>
      </c>
      <c r="B22" s="18" t="s">
        <v>221</v>
      </c>
      <c r="C22" s="18" t="s">
        <v>222</v>
      </c>
      <c r="D22" s="18" t="s">
        <v>107</v>
      </c>
      <c r="E22" s="18" t="s">
        <v>223</v>
      </c>
      <c r="F22" s="18" t="s">
        <v>224</v>
      </c>
      <c r="G22" s="18" t="s">
        <v>225</v>
      </c>
      <c r="H22" s="18" t="s">
        <v>226</v>
      </c>
      <c r="I22" s="18" t="s">
        <v>184</v>
      </c>
      <c r="J22" s="18" t="s">
        <v>227</v>
      </c>
      <c r="K22" s="18" t="s">
        <v>228</v>
      </c>
      <c r="L22" s="18" t="s">
        <v>62</v>
      </c>
      <c r="M22" s="18" t="s">
        <v>229</v>
      </c>
      <c r="N22" s="18" t="s">
        <v>64</v>
      </c>
      <c r="O22" s="18" t="s">
        <v>59</v>
      </c>
      <c r="P22" s="19" t="s">
        <v>65</v>
      </c>
      <c r="Q22" s="18" t="s">
        <v>230</v>
      </c>
      <c r="R22" s="18" t="s">
        <v>231</v>
      </c>
      <c r="S22" s="18" t="s">
        <v>186</v>
      </c>
      <c r="T22" s="18" t="s">
        <v>232</v>
      </c>
    </row>
  </sheetData>
  <autoFilter ref="A1:T1"/>
  <dataValidations count="5">
    <dataValidation allowBlank="true" errorStyle="stop" operator="between" showDropDown="false" showErrorMessage="false" showInputMessage="false" sqref="I2:I100" type="list">
      <formula1>"Yes,No"</formula1>
      <formula2>0</formula2>
    </dataValidation>
    <dataValidation allowBlank="true" errorStyle="stop" operator="between" showDropDown="false" showErrorMessage="false" showInputMessage="false" sqref="P2:P100" type="list">
      <formula1>"Compliant,Non-Compliant,Exception,Under Review"</formula1>
      <formula2>0</formula2>
    </dataValidation>
    <dataValidation allowBlank="true" errorStyle="stop" operator="between" showDropDown="false" showErrorMessage="false" showInputMessage="false" sqref="N2:N100" type="list">
      <formula1>"Yes,No,N/A"</formula1>
      <formula2>0</formula2>
    </dataValidation>
    <dataValidation allowBlank="true" errorStyle="stop" operator="between" showDropDown="false" showErrorMessage="false" showInputMessage="false" sqref="O2:O100" type="list">
      <formula1>"Yes,No,N/A"</formula1>
      <formula2>0</formula2>
    </dataValidation>
    <dataValidation allowBlank="true" errorStyle="stop" operator="between" showDropDown="false" showErrorMessage="false" showInputMessage="false" sqref="D2:D100" type="list">
      <formula1>"CDE,Connected-to,Third-Party,Out-of-Scope"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false"/>
  </sheetPr>
  <dimension ref="A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36"/>
  </cols>
  <sheetData>
    <row r="2" customFormat="false" ht="17.35" hidden="false" customHeight="false" outlineLevel="0" collapsed="false">
      <c r="B2" s="20" t="s">
        <v>233</v>
      </c>
      <c r="C2" s="20"/>
      <c r="D2" s="20"/>
      <c r="E2" s="20"/>
      <c r="F2" s="20"/>
      <c r="G2" s="20"/>
      <c r="H2" s="20"/>
    </row>
    <row r="3" customFormat="false" ht="15" hidden="false" customHeight="false" outlineLevel="0" collapsed="false">
      <c r="B3" s="21" t="s">
        <v>234</v>
      </c>
      <c r="C3" s="21"/>
      <c r="D3" s="21"/>
      <c r="E3" s="21"/>
      <c r="F3" s="21"/>
      <c r="G3" s="21"/>
      <c r="H3" s="21"/>
    </row>
    <row r="5" customFormat="false" ht="23.85" hidden="false" customHeight="false" outlineLevel="0" collapsed="false">
      <c r="B5" s="7" t="s">
        <v>235</v>
      </c>
      <c r="C5" s="7" t="s">
        <v>236</v>
      </c>
      <c r="D5" s="7" t="s">
        <v>34</v>
      </c>
      <c r="E5" s="7" t="s">
        <v>237</v>
      </c>
      <c r="F5" s="7" t="s">
        <v>238</v>
      </c>
      <c r="G5" s="7" t="s">
        <v>239</v>
      </c>
      <c r="H5" s="7" t="s">
        <v>240</v>
      </c>
    </row>
    <row r="6" customFormat="false" ht="15" hidden="false" customHeight="false" outlineLevel="0" collapsed="false">
      <c r="B6" s="13" t="s">
        <v>241</v>
      </c>
      <c r="C6" s="13" t="s">
        <v>242</v>
      </c>
      <c r="D6" s="13" t="s">
        <v>54</v>
      </c>
      <c r="E6" s="13" t="s">
        <v>51</v>
      </c>
      <c r="F6" s="22" t="s">
        <v>243</v>
      </c>
      <c r="G6" s="13" t="s">
        <v>244</v>
      </c>
      <c r="H6" s="13" t="s">
        <v>245</v>
      </c>
    </row>
    <row r="7" customFormat="false" ht="15" hidden="false" customHeight="false" outlineLevel="0" collapsed="false">
      <c r="B7" s="13" t="s">
        <v>241</v>
      </c>
      <c r="C7" s="13" t="s">
        <v>246</v>
      </c>
      <c r="D7" s="13" t="s">
        <v>54</v>
      </c>
      <c r="E7" s="13" t="s">
        <v>70</v>
      </c>
      <c r="F7" s="22" t="s">
        <v>243</v>
      </c>
      <c r="G7" s="13" t="s">
        <v>247</v>
      </c>
      <c r="H7" s="13" t="s">
        <v>248</v>
      </c>
    </row>
    <row r="8" customFormat="false" ht="15" hidden="false" customHeight="false" outlineLevel="0" collapsed="false">
      <c r="B8" s="13" t="s">
        <v>241</v>
      </c>
      <c r="C8" s="13" t="s">
        <v>76</v>
      </c>
      <c r="D8" s="13" t="s">
        <v>54</v>
      </c>
      <c r="E8" s="13" t="s">
        <v>75</v>
      </c>
      <c r="F8" s="22" t="s">
        <v>243</v>
      </c>
      <c r="G8" s="13" t="s">
        <v>249</v>
      </c>
      <c r="H8" s="13" t="s">
        <v>250</v>
      </c>
    </row>
    <row r="9" customFormat="false" ht="15" hidden="false" customHeight="false" outlineLevel="0" collapsed="false">
      <c r="B9" s="13" t="s">
        <v>241</v>
      </c>
      <c r="C9" s="13" t="s">
        <v>82</v>
      </c>
      <c r="D9" s="13" t="s">
        <v>54</v>
      </c>
      <c r="E9" s="13" t="s">
        <v>81</v>
      </c>
      <c r="F9" s="22" t="s">
        <v>243</v>
      </c>
      <c r="G9" s="13" t="s">
        <v>251</v>
      </c>
      <c r="H9" s="13" t="s">
        <v>252</v>
      </c>
    </row>
    <row r="10" customFormat="false" ht="15" hidden="false" customHeight="false" outlineLevel="0" collapsed="false">
      <c r="B10" s="13" t="s">
        <v>241</v>
      </c>
      <c r="C10" s="13" t="s">
        <v>253</v>
      </c>
      <c r="D10" s="13" t="s">
        <v>54</v>
      </c>
      <c r="E10" s="13" t="s">
        <v>89</v>
      </c>
      <c r="F10" s="22" t="s">
        <v>243</v>
      </c>
      <c r="G10" s="13" t="s">
        <v>254</v>
      </c>
      <c r="H10" s="13" t="s">
        <v>255</v>
      </c>
    </row>
    <row r="11" customFormat="false" ht="15" hidden="false" customHeight="false" outlineLevel="0" collapsed="false">
      <c r="B11" s="13" t="s">
        <v>241</v>
      </c>
      <c r="C11" s="13" t="s">
        <v>256</v>
      </c>
      <c r="D11" s="13" t="s">
        <v>54</v>
      </c>
      <c r="E11" s="13" t="s">
        <v>98</v>
      </c>
      <c r="F11" s="22" t="s">
        <v>243</v>
      </c>
      <c r="G11" s="13" t="s">
        <v>257</v>
      </c>
      <c r="H11" s="13" t="s">
        <v>258</v>
      </c>
    </row>
    <row r="12" customFormat="false" ht="15" hidden="false" customHeight="false" outlineLevel="0" collapsed="false">
      <c r="B12" s="15" t="s">
        <v>259</v>
      </c>
      <c r="C12" s="15" t="s">
        <v>260</v>
      </c>
      <c r="D12" s="15" t="s">
        <v>107</v>
      </c>
      <c r="E12" s="15" t="s">
        <v>104</v>
      </c>
      <c r="F12" s="22" t="s">
        <v>243</v>
      </c>
      <c r="G12" s="15" t="s">
        <v>261</v>
      </c>
      <c r="H12" s="15" t="s">
        <v>262</v>
      </c>
    </row>
    <row r="13" customFormat="false" ht="15" hidden="false" customHeight="false" outlineLevel="0" collapsed="false">
      <c r="B13" s="15" t="s">
        <v>259</v>
      </c>
      <c r="C13" s="15" t="s">
        <v>118</v>
      </c>
      <c r="D13" s="15" t="s">
        <v>107</v>
      </c>
      <c r="E13" s="15" t="s">
        <v>117</v>
      </c>
      <c r="F13" s="22" t="s">
        <v>243</v>
      </c>
      <c r="G13" s="15" t="s">
        <v>261</v>
      </c>
      <c r="H13" s="15" t="s">
        <v>263</v>
      </c>
    </row>
    <row r="14" customFormat="false" ht="15" hidden="false" customHeight="false" outlineLevel="0" collapsed="false">
      <c r="B14" s="17" t="s">
        <v>264</v>
      </c>
      <c r="C14" s="17" t="s">
        <v>265</v>
      </c>
      <c r="D14" s="17" t="s">
        <v>126</v>
      </c>
      <c r="E14" s="17" t="s">
        <v>123</v>
      </c>
      <c r="F14" s="22" t="s">
        <v>243</v>
      </c>
      <c r="G14" s="17" t="s">
        <v>266</v>
      </c>
      <c r="H14" s="17" t="s">
        <v>267</v>
      </c>
    </row>
    <row r="15" customFormat="false" ht="15" hidden="false" customHeight="false" outlineLevel="0" collapsed="false">
      <c r="B15" s="17" t="s">
        <v>264</v>
      </c>
      <c r="C15" s="17" t="s">
        <v>268</v>
      </c>
      <c r="D15" s="17" t="s">
        <v>126</v>
      </c>
      <c r="E15" s="17" t="s">
        <v>132</v>
      </c>
      <c r="F15" s="22" t="s">
        <v>243</v>
      </c>
      <c r="G15" s="17" t="s">
        <v>269</v>
      </c>
      <c r="H15" s="17" t="s">
        <v>270</v>
      </c>
    </row>
    <row r="16" customFormat="false" ht="15" hidden="false" customHeight="false" outlineLevel="0" collapsed="false">
      <c r="B16" s="17" t="s">
        <v>264</v>
      </c>
      <c r="C16" s="17" t="s">
        <v>271</v>
      </c>
      <c r="D16" s="17" t="s">
        <v>126</v>
      </c>
      <c r="E16" s="17" t="s">
        <v>137</v>
      </c>
      <c r="F16" s="22" t="s">
        <v>243</v>
      </c>
      <c r="G16" s="17" t="s">
        <v>272</v>
      </c>
      <c r="H16" s="17" t="s">
        <v>273</v>
      </c>
    </row>
    <row r="17" customFormat="false" ht="15" hidden="false" customHeight="false" outlineLevel="0" collapsed="false">
      <c r="B17" s="17" t="s">
        <v>264</v>
      </c>
      <c r="C17" s="17" t="s">
        <v>274</v>
      </c>
      <c r="D17" s="17" t="s">
        <v>126</v>
      </c>
      <c r="E17" s="17" t="s">
        <v>142</v>
      </c>
      <c r="F17" s="22" t="s">
        <v>243</v>
      </c>
      <c r="G17" s="17" t="s">
        <v>272</v>
      </c>
      <c r="H17" s="17" t="s">
        <v>275</v>
      </c>
    </row>
    <row r="18" customFormat="false" ht="15" hidden="false" customHeight="false" outlineLevel="0" collapsed="false">
      <c r="B18" s="17" t="s">
        <v>264</v>
      </c>
      <c r="C18" s="17" t="s">
        <v>276</v>
      </c>
      <c r="D18" s="17" t="s">
        <v>126</v>
      </c>
      <c r="E18" s="17" t="s">
        <v>154</v>
      </c>
      <c r="F18" s="22" t="s">
        <v>243</v>
      </c>
      <c r="G18" s="17" t="s">
        <v>272</v>
      </c>
      <c r="H18" s="17" t="s">
        <v>277</v>
      </c>
    </row>
    <row r="19" customFormat="false" ht="15" hidden="false" customHeight="false" outlineLevel="0" collapsed="false">
      <c r="B19" s="17" t="s">
        <v>264</v>
      </c>
      <c r="C19" s="17" t="s">
        <v>278</v>
      </c>
      <c r="D19" s="17" t="s">
        <v>126</v>
      </c>
      <c r="E19" s="17" t="s">
        <v>164</v>
      </c>
      <c r="F19" s="22" t="s">
        <v>243</v>
      </c>
      <c r="G19" s="17" t="s">
        <v>272</v>
      </c>
      <c r="H19" s="17" t="s">
        <v>279</v>
      </c>
    </row>
    <row r="20" customFormat="false" ht="15" hidden="false" customHeight="false" outlineLevel="0" collapsed="false">
      <c r="B20" s="17" t="s">
        <v>264</v>
      </c>
      <c r="C20" s="17" t="s">
        <v>280</v>
      </c>
      <c r="D20" s="17" t="s">
        <v>126</v>
      </c>
      <c r="E20" s="17" t="s">
        <v>171</v>
      </c>
      <c r="F20" s="22" t="s">
        <v>243</v>
      </c>
      <c r="G20" s="17" t="s">
        <v>281</v>
      </c>
      <c r="H20" s="17" t="s">
        <v>282</v>
      </c>
    </row>
    <row r="21" customFormat="false" ht="15" hidden="false" customHeight="false" outlineLevel="0" collapsed="false">
      <c r="B21" s="15" t="s">
        <v>259</v>
      </c>
      <c r="C21" s="15" t="s">
        <v>283</v>
      </c>
      <c r="D21" s="15" t="s">
        <v>107</v>
      </c>
      <c r="E21" s="15" t="s">
        <v>179</v>
      </c>
      <c r="F21" s="22" t="s">
        <v>243</v>
      </c>
      <c r="G21" s="15" t="s">
        <v>284</v>
      </c>
      <c r="H21" s="15" t="s">
        <v>285</v>
      </c>
    </row>
    <row r="22" customFormat="false" ht="15" hidden="false" customHeight="false" outlineLevel="0" collapsed="false">
      <c r="B22" s="15" t="s">
        <v>259</v>
      </c>
      <c r="C22" s="15" t="s">
        <v>286</v>
      </c>
      <c r="D22" s="15" t="s">
        <v>107</v>
      </c>
      <c r="E22" s="15" t="s">
        <v>188</v>
      </c>
      <c r="F22" s="22" t="s">
        <v>243</v>
      </c>
      <c r="G22" s="15" t="s">
        <v>287</v>
      </c>
      <c r="H22" s="15" t="s">
        <v>288</v>
      </c>
    </row>
    <row r="23" customFormat="false" ht="15" hidden="false" customHeight="false" outlineLevel="0" collapsed="false">
      <c r="B23" s="15" t="s">
        <v>259</v>
      </c>
      <c r="C23" s="15" t="s">
        <v>289</v>
      </c>
      <c r="D23" s="15" t="s">
        <v>107</v>
      </c>
      <c r="E23" s="15" t="s">
        <v>196</v>
      </c>
      <c r="F23" s="22" t="s">
        <v>243</v>
      </c>
      <c r="G23" s="15" t="s">
        <v>290</v>
      </c>
      <c r="H23" s="15" t="s">
        <v>198</v>
      </c>
    </row>
    <row r="24" customFormat="false" ht="15" hidden="false" customHeight="false" outlineLevel="0" collapsed="false">
      <c r="B24" s="15" t="s">
        <v>259</v>
      </c>
      <c r="C24" s="15" t="s">
        <v>205</v>
      </c>
      <c r="D24" s="15" t="s">
        <v>107</v>
      </c>
      <c r="E24" s="15" t="s">
        <v>204</v>
      </c>
      <c r="F24" s="22" t="s">
        <v>243</v>
      </c>
      <c r="G24" s="15" t="s">
        <v>291</v>
      </c>
      <c r="H24" s="15" t="s">
        <v>292</v>
      </c>
    </row>
    <row r="25" customFormat="false" ht="15" hidden="false" customHeight="false" outlineLevel="0" collapsed="false">
      <c r="B25" s="15" t="s">
        <v>259</v>
      </c>
      <c r="C25" s="15" t="s">
        <v>293</v>
      </c>
      <c r="D25" s="15" t="s">
        <v>107</v>
      </c>
      <c r="E25" s="15" t="s">
        <v>211</v>
      </c>
      <c r="F25" s="22" t="s">
        <v>243</v>
      </c>
      <c r="G25" s="15" t="s">
        <v>294</v>
      </c>
      <c r="H25" s="15" t="s">
        <v>295</v>
      </c>
    </row>
    <row r="26" customFormat="false" ht="15" hidden="false" customHeight="false" outlineLevel="0" collapsed="false">
      <c r="A26" s="23"/>
      <c r="B26" s="18" t="s">
        <v>259</v>
      </c>
      <c r="C26" s="18" t="s">
        <v>221</v>
      </c>
      <c r="D26" s="18" t="s">
        <v>107</v>
      </c>
      <c r="E26" s="18" t="s">
        <v>220</v>
      </c>
      <c r="F26" s="19" t="s">
        <v>243</v>
      </c>
      <c r="G26" s="18" t="s">
        <v>296</v>
      </c>
      <c r="H26" s="18" t="s">
        <v>297</v>
      </c>
    </row>
    <row r="29" customFormat="false" ht="15" hidden="false" customHeight="false" outlineLevel="0" collapsed="false">
      <c r="B29" s="24" t="s">
        <v>298</v>
      </c>
      <c r="C29" s="25"/>
      <c r="D29" s="25"/>
      <c r="E29" s="25"/>
      <c r="F29" s="25"/>
    </row>
    <row r="30" customFormat="false" ht="15" hidden="false" customHeight="false" outlineLevel="0" collapsed="false">
      <c r="B30" s="26" t="s">
        <v>54</v>
      </c>
      <c r="C30" s="27" t="s">
        <v>299</v>
      </c>
      <c r="D30" s="27"/>
      <c r="E30" s="27"/>
      <c r="F30" s="27"/>
    </row>
    <row r="31" customFormat="false" ht="15" hidden="false" customHeight="false" outlineLevel="0" collapsed="false">
      <c r="B31" s="28" t="s">
        <v>107</v>
      </c>
      <c r="C31" s="27" t="s">
        <v>300</v>
      </c>
      <c r="D31" s="27"/>
      <c r="E31" s="27"/>
      <c r="F31" s="27"/>
    </row>
    <row r="32" customFormat="false" ht="15" hidden="false" customHeight="false" outlineLevel="0" collapsed="false">
      <c r="B32" s="29" t="s">
        <v>126</v>
      </c>
      <c r="C32" s="27" t="s">
        <v>301</v>
      </c>
      <c r="D32" s="30"/>
      <c r="E32" s="30"/>
      <c r="F32" s="31"/>
    </row>
  </sheetData>
  <mergeCells count="5">
    <mergeCell ref="B2:H2"/>
    <mergeCell ref="B3:H3"/>
    <mergeCell ref="C29:F29"/>
    <mergeCell ref="C30:F30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9138"/>
    <pageSetUpPr fitToPage="false"/>
  </sheetPr>
  <dimension ref="B2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4"/>
  </cols>
  <sheetData>
    <row r="2" customFormat="false" ht="17.35" hidden="false" customHeight="false" outlineLevel="0" collapsed="false">
      <c r="B2" s="20" t="s">
        <v>302</v>
      </c>
      <c r="C2" s="20"/>
      <c r="D2" s="20"/>
      <c r="E2" s="20"/>
      <c r="F2" s="20"/>
      <c r="G2" s="20"/>
    </row>
    <row r="3" customFormat="false" ht="15" hidden="false" customHeight="false" outlineLevel="0" collapsed="false">
      <c r="B3" s="21" t="s">
        <v>303</v>
      </c>
      <c r="C3" s="21"/>
      <c r="D3" s="21"/>
      <c r="E3" s="21"/>
      <c r="F3" s="21"/>
      <c r="G3" s="21"/>
    </row>
    <row r="5" customFormat="false" ht="15" hidden="false" customHeight="false" outlineLevel="0" collapsed="false">
      <c r="B5" s="6" t="s">
        <v>304</v>
      </c>
    </row>
    <row r="6" customFormat="false" ht="15" hidden="false" customHeight="false" outlineLevel="0" collapsed="false">
      <c r="B6" s="4" t="s">
        <v>305</v>
      </c>
      <c r="C6" s="4"/>
      <c r="D6" s="4"/>
      <c r="E6" s="32" t="n">
        <f aca="false">COUNTA('Cryptographic Inventory'!A2:A200)</f>
        <v>21</v>
      </c>
    </row>
    <row r="7" customFormat="false" ht="15" hidden="false" customHeight="false" outlineLevel="0" collapsed="false">
      <c r="B7" s="33" t="s">
        <v>306</v>
      </c>
      <c r="C7" s="33"/>
      <c r="D7" s="33"/>
      <c r="E7" s="34" t="n">
        <f aca="false">COUNTIF('Cryptographic Inventory'!D2:D200,"CDE")</f>
        <v>6</v>
      </c>
    </row>
    <row r="8" customFormat="false" ht="15" hidden="false" customHeight="false" outlineLevel="0" collapsed="false">
      <c r="B8" s="4" t="s">
        <v>307</v>
      </c>
      <c r="C8" s="4"/>
      <c r="D8" s="4"/>
      <c r="E8" s="32" t="n">
        <f aca="false">COUNTIF('Cryptographic Inventory'!D2:D200,"Connected-to")</f>
        <v>8</v>
      </c>
    </row>
    <row r="9" customFormat="false" ht="15" hidden="false" customHeight="false" outlineLevel="0" collapsed="false">
      <c r="B9" s="33" t="s">
        <v>308</v>
      </c>
      <c r="C9" s="33"/>
      <c r="D9" s="33"/>
      <c r="E9" s="34" t="n">
        <f aca="false">COUNTIF('Cryptographic Inventory'!D2:D200,"Third-Party")</f>
        <v>7</v>
      </c>
    </row>
    <row r="10" customFormat="false" ht="15" hidden="false" customHeight="false" outlineLevel="0" collapsed="false">
      <c r="B10" s="4" t="s">
        <v>309</v>
      </c>
      <c r="C10" s="4"/>
      <c r="D10" s="4"/>
      <c r="E10" s="32" t="n">
        <f aca="false">COUNTIF('Cryptographic Inventory'!I2:I200,"Yes")</f>
        <v>15</v>
      </c>
    </row>
    <row r="11" customFormat="false" ht="15" hidden="false" customHeight="false" outlineLevel="0" collapsed="false">
      <c r="B11" s="33" t="s">
        <v>310</v>
      </c>
      <c r="C11" s="33"/>
      <c r="D11" s="33"/>
      <c r="E11" s="34" t="n">
        <f aca="false">COUNTIF('Cryptographic Inventory'!P2:P200,"Compliant")</f>
        <v>21</v>
      </c>
    </row>
    <row r="12" customFormat="false" ht="15" hidden="false" customHeight="false" outlineLevel="0" collapsed="false">
      <c r="B12" s="4" t="s">
        <v>311</v>
      </c>
      <c r="C12" s="4"/>
      <c r="D12" s="4"/>
      <c r="E12" s="32" t="n">
        <f aca="false">COUNTIF('Cryptographic Inventory'!P2:P200,"Non-Compliant")</f>
        <v>0</v>
      </c>
    </row>
    <row r="13" customFormat="false" ht="15" hidden="false" customHeight="false" outlineLevel="0" collapsed="false">
      <c r="B13" s="33" t="s">
        <v>312</v>
      </c>
      <c r="C13" s="33"/>
      <c r="D13" s="33"/>
      <c r="E13" s="34" t="n">
        <f aca="false">COUNTIF('Cryptographic Inventory'!P2:P200,"Exception")</f>
        <v>0</v>
      </c>
    </row>
    <row r="14" customFormat="false" ht="15" hidden="false" customHeight="false" outlineLevel="0" collapsed="false">
      <c r="B14" s="4" t="s">
        <v>313</v>
      </c>
      <c r="C14" s="4"/>
      <c r="D14" s="4"/>
      <c r="E14" s="32" t="n">
        <f aca="false">COUNTIF('Cryptographic Inventory'!F2:F200,"*TLS 1.3*")</f>
        <v>2</v>
      </c>
    </row>
    <row r="15" customFormat="false" ht="15" hidden="false" customHeight="false" outlineLevel="0" collapsed="false">
      <c r="B15" s="33" t="s">
        <v>314</v>
      </c>
      <c r="C15" s="33"/>
      <c r="D15" s="33"/>
      <c r="E15" s="34" t="n">
        <f aca="false">COUNTIF('Cryptographic Inventory'!F2:F200,"TLS 1.2")</f>
        <v>15</v>
      </c>
    </row>
    <row r="16" customFormat="false" ht="15" hidden="false" customHeight="false" outlineLevel="0" collapsed="false">
      <c r="B16" s="4" t="s">
        <v>315</v>
      </c>
      <c r="C16" s="4"/>
      <c r="D16" s="4"/>
      <c r="E16" s="32" t="n">
        <f aca="true">COUNTIFS('Cryptographic Inventory'!M2:M200,"&gt;="&amp;TODAY(),'Cryptographic Inventory'!M2:M200,"&lt;="&amp;TODAY()+90)</f>
        <v>0</v>
      </c>
    </row>
    <row r="19" customFormat="false" ht="15" hidden="false" customHeight="false" outlineLevel="0" collapsed="false">
      <c r="B19" s="6" t="s">
        <v>316</v>
      </c>
    </row>
    <row r="20" customFormat="false" ht="15" hidden="false" customHeight="false" outlineLevel="0" collapsed="false">
      <c r="B20" s="7" t="s">
        <v>35</v>
      </c>
      <c r="C20" s="7" t="s">
        <v>317</v>
      </c>
      <c r="D20" s="7" t="s">
        <v>318</v>
      </c>
    </row>
    <row r="21" customFormat="false" ht="15" hidden="false" customHeight="false" outlineLevel="0" collapsed="false">
      <c r="B21" s="35" t="s">
        <v>55</v>
      </c>
      <c r="C21" s="8" t="n">
        <f aca="false">COUNTIF('Cryptographic Inventory'!E2:E200,"Transaction Processing")</f>
        <v>1</v>
      </c>
      <c r="D21" s="8" t="n">
        <f aca="false">COUNTIFS('Cryptographic Inventory'!E2:E200,"Transaction Processing",'Cryptographic Inventory'!I2:I200,"Yes")</f>
        <v>1</v>
      </c>
    </row>
    <row r="22" customFormat="false" ht="15" hidden="false" customHeight="false" outlineLevel="0" collapsed="false">
      <c r="B22" s="27" t="s">
        <v>72</v>
      </c>
      <c r="C22" s="9" t="n">
        <f aca="false">COUNTIF('Cryptographic Inventory'!E2:E200,"Card Management")</f>
        <v>1</v>
      </c>
      <c r="D22" s="9" t="n">
        <f aca="false">COUNTIFS('Cryptographic Inventory'!E2:E200,"Card Management",'Cryptographic Inventory'!I2:I200,"Yes")</f>
        <v>1</v>
      </c>
    </row>
    <row r="23" customFormat="false" ht="15" hidden="false" customHeight="false" outlineLevel="0" collapsed="false">
      <c r="B23" s="35" t="s">
        <v>77</v>
      </c>
      <c r="C23" s="8" t="n">
        <f aca="false">COUNTIF('Cryptographic Inventory'!E2:E200,"Fraud Detection")</f>
        <v>1</v>
      </c>
      <c r="D23" s="8" t="n">
        <f aca="false">COUNTIFS('Cryptographic Inventory'!E2:E200,"Fraud Detection",'Cryptographic Inventory'!I2:I200,"Yes")</f>
        <v>1</v>
      </c>
    </row>
    <row r="24" customFormat="false" ht="15" hidden="false" customHeight="false" outlineLevel="0" collapsed="false">
      <c r="B24" s="27" t="s">
        <v>83</v>
      </c>
      <c r="C24" s="9" t="n">
        <f aca="false">COUNTIF('Cryptographic Inventory'!E2:E200,"Notification Service")</f>
        <v>1</v>
      </c>
      <c r="D24" s="9" t="n">
        <f aca="false">COUNTIFS('Cryptographic Inventory'!E2:E200,"Notification Service",'Cryptographic Inventory'!I2:I200,"Yes")</f>
        <v>1</v>
      </c>
    </row>
    <row r="25" customFormat="false" ht="15" hidden="false" customHeight="false" outlineLevel="0" collapsed="false">
      <c r="B25" s="35" t="s">
        <v>92</v>
      </c>
      <c r="C25" s="8" t="n">
        <f aca="false">COUNTIF('Cryptographic Inventory'!E2:E200,"POS Terminal")</f>
        <v>1</v>
      </c>
      <c r="D25" s="8" t="n">
        <f aca="false">COUNTIFS('Cryptographic Inventory'!E2:E200,"POS Terminal",'Cryptographic Inventory'!I2:I200,"Yes")</f>
        <v>1</v>
      </c>
    </row>
    <row r="26" customFormat="false" ht="15" hidden="false" customHeight="false" outlineLevel="0" collapsed="false">
      <c r="B26" s="27" t="s">
        <v>100</v>
      </c>
      <c r="C26" s="9" t="n">
        <f aca="false">COUNTIF('Cryptographic Inventory'!E2:E200,"Core Banking")</f>
        <v>1</v>
      </c>
      <c r="D26" s="9" t="n">
        <f aca="false">COUNTIFS('Cryptographic Inventory'!E2:E200,"Core Banking",'Cryptographic Inventory'!I2:I200,"Yes")</f>
        <v>1</v>
      </c>
    </row>
    <row r="27" customFormat="false" ht="15" hidden="false" customHeight="false" outlineLevel="0" collapsed="false">
      <c r="B27" s="35" t="s">
        <v>108</v>
      </c>
      <c r="C27" s="8" t="n">
        <f aca="false">COUNTIF('Cryptographic Inventory'!E2:E200,"Online Banking")</f>
        <v>1</v>
      </c>
      <c r="D27" s="8" t="n">
        <f aca="false">COUNTIFS('Cryptographic Inventory'!E2:E200,"Online Banking",'Cryptographic Inventory'!I2:I200,"Yes")</f>
        <v>1</v>
      </c>
    </row>
    <row r="28" customFormat="false" ht="15" hidden="false" customHeight="false" outlineLevel="0" collapsed="false">
      <c r="B28" s="27" t="s">
        <v>119</v>
      </c>
      <c r="C28" s="9" t="n">
        <f aca="false">COUNTIF('Cryptographic Inventory'!E2:E200,"Digital Banking Platform")</f>
        <v>1</v>
      </c>
      <c r="D28" s="9" t="n">
        <f aca="false">COUNTIFS('Cryptographic Inventory'!E2:E200,"Digital Banking Platform",'Cryptographic Inventory'!I2:I200,"Yes")</f>
        <v>1</v>
      </c>
    </row>
    <row r="29" customFormat="false" ht="15" hidden="false" customHeight="false" outlineLevel="0" collapsed="false">
      <c r="B29" s="35" t="s">
        <v>127</v>
      </c>
      <c r="C29" s="8" t="n">
        <f aca="false">COUNTIF('Cryptographic Inventory'!E2:E200,"External Processing Link")</f>
        <v>1</v>
      </c>
      <c r="D29" s="8" t="n">
        <f aca="false">COUNTIFS('Cryptographic Inventory'!E2:E200,"External Processing Link",'Cryptographic Inventory'!I2:I200,"Yes")</f>
        <v>1</v>
      </c>
    </row>
    <row r="30" customFormat="false" ht="15" hidden="false" customHeight="false" outlineLevel="0" collapsed="false">
      <c r="B30" s="27" t="s">
        <v>134</v>
      </c>
      <c r="C30" s="9" t="n">
        <f aca="false">COUNTIF('Cryptographic Inventory'!E2:E200,"Clearing Interface")</f>
        <v>1</v>
      </c>
      <c r="D30" s="9" t="n">
        <f aca="false">COUNTIFS('Cryptographic Inventory'!E2:E200,"Clearing Interface",'Cryptographic Inventory'!I2:I200,"Yes")</f>
        <v>1</v>
      </c>
    </row>
    <row r="31" customFormat="false" ht="15" hidden="false" customHeight="false" outlineLevel="0" collapsed="false">
      <c r="B31" s="35" t="s">
        <v>139</v>
      </c>
      <c r="C31" s="8" t="n">
        <f aca="false">COUNTIF('Cryptographic Inventory'!E2:E200,"3DS Authentication")</f>
        <v>1</v>
      </c>
      <c r="D31" s="8" t="n">
        <f aca="false">COUNTIFS('Cryptographic Inventory'!E2:E200,"3DS Authentication",'Cryptographic Inventory'!I2:I200,"Yes")</f>
        <v>1</v>
      </c>
    </row>
    <row r="32" customFormat="false" ht="15" hidden="false" customHeight="false" outlineLevel="0" collapsed="false">
      <c r="B32" s="27" t="s">
        <v>145</v>
      </c>
      <c r="C32" s="9" t="n">
        <f aca="false">COUNTIF('Cryptographic Inventory'!E2:E200,"Card Scheme Interface")</f>
        <v>3</v>
      </c>
      <c r="D32" s="9" t="n">
        <f aca="false">COUNTIFS('Cryptographic Inventory'!E2:E200,"Card Scheme Interface",'Cryptographic Inventory'!I2:I200,"Yes")</f>
        <v>3</v>
      </c>
    </row>
    <row r="33" customFormat="false" ht="15" hidden="false" customHeight="false" outlineLevel="0" collapsed="false">
      <c r="B33" s="35" t="s">
        <v>174</v>
      </c>
      <c r="C33" s="8" t="n">
        <f aca="false">COUNTIF('Cryptographic Inventory'!E2:E200,"Terminal Management")</f>
        <v>1</v>
      </c>
      <c r="D33" s="8" t="n">
        <f aca="false">COUNTIFS('Cryptographic Inventory'!E2:E200,"Terminal Management",'Cryptographic Inventory'!I2:I200,"Yes")</f>
        <v>1</v>
      </c>
    </row>
    <row r="34" customFormat="false" ht="15" hidden="false" customHeight="false" outlineLevel="0" collapsed="false">
      <c r="B34" s="27" t="s">
        <v>182</v>
      </c>
      <c r="C34" s="9" t="n">
        <f aca="false">COUNTIF('Cryptographic Inventory'!E2:E200,"Firewall / Network Segmentation")</f>
        <v>1</v>
      </c>
      <c r="D34" s="9" t="n">
        <f aca="false">COUNTIFS('Cryptographic Inventory'!E2:E200,"Firewall / Network Segmentation",'Cryptographic Inventory'!I2:I200,"Yes")</f>
        <v>0</v>
      </c>
    </row>
    <row r="35" customFormat="false" ht="15" hidden="false" customHeight="false" outlineLevel="0" collapsed="false">
      <c r="B35" s="35" t="s">
        <v>191</v>
      </c>
      <c r="C35" s="8" t="n">
        <f aca="false">COUNTIF('Cryptographic Inventory'!E2:E200,"Authentication / Directory")</f>
        <v>1</v>
      </c>
      <c r="D35" s="8" t="n">
        <f aca="false">COUNTIFS('Cryptographic Inventory'!E2:E200,"Authentication / Directory",'Cryptographic Inventory'!I2:I200,"Yes")</f>
        <v>0</v>
      </c>
    </row>
    <row r="36" customFormat="false" ht="15" hidden="false" customHeight="false" outlineLevel="0" collapsed="false">
      <c r="B36" s="27" t="s">
        <v>199</v>
      </c>
      <c r="C36" s="9" t="n">
        <f aca="false">COUNTIF('Cryptographic Inventory'!E2:E200,"Log Management / SIEM")</f>
        <v>1</v>
      </c>
      <c r="D36" s="9" t="n">
        <f aca="false">COUNTIFS('Cryptographic Inventory'!E2:E200,"Log Management / SIEM",'Cryptographic Inventory'!I2:I200,"Yes")</f>
        <v>0</v>
      </c>
    </row>
    <row r="37" customFormat="false" ht="15" hidden="false" customHeight="false" outlineLevel="0" collapsed="false">
      <c r="B37" s="35" t="s">
        <v>207</v>
      </c>
      <c r="C37" s="8" t="n">
        <f aca="false">COUNTIF('Cryptographic Inventory'!E2:E200,"Backup Infrastructure")</f>
        <v>1</v>
      </c>
      <c r="D37" s="8" t="n">
        <f aca="false">COUNTIFS('Cryptographic Inventory'!E2:E200,"Backup Infrastructure",'Cryptographic Inventory'!I2:I200,"Yes")</f>
        <v>0</v>
      </c>
    </row>
    <row r="38" customFormat="false" ht="15" hidden="false" customHeight="false" outlineLevel="0" collapsed="false">
      <c r="B38" s="27" t="s">
        <v>214</v>
      </c>
      <c r="C38" s="9" t="n">
        <f aca="false">COUNTIF('Cryptographic Inventory'!E2:E200,"Workstation")</f>
        <v>1</v>
      </c>
      <c r="D38" s="9" t="n">
        <f aca="false">COUNTIFS('Cryptographic Inventory'!E2:E200,"Workstation",'Cryptographic Inventory'!I2:I200,"Yes")</f>
        <v>0</v>
      </c>
    </row>
    <row r="40" customFormat="false" ht="15" hidden="false" customHeight="false" outlineLevel="0" collapsed="false">
      <c r="B40" s="36" t="s">
        <v>319</v>
      </c>
      <c r="C40" s="36"/>
      <c r="D40" s="36"/>
      <c r="E40" s="36"/>
      <c r="F40" s="36"/>
      <c r="G40" s="36"/>
    </row>
  </sheetData>
  <mergeCells count="14">
    <mergeCell ref="B2:G2"/>
    <mergeCell ref="B3:G3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38"/>
    <col collapsed="false" customWidth="true" hidden="false" outlineLevel="0" max="5" min="5" style="0" width="18"/>
  </cols>
  <sheetData>
    <row r="2" customFormat="false" ht="17.35" hidden="false" customHeight="false" outlineLevel="0" collapsed="false">
      <c r="B2" s="20" t="s">
        <v>320</v>
      </c>
      <c r="C2" s="20"/>
      <c r="D2" s="20"/>
      <c r="E2" s="20"/>
      <c r="F2" s="20"/>
    </row>
    <row r="3" customFormat="false" ht="15" hidden="false" customHeight="false" outlineLevel="0" collapsed="false">
      <c r="B3" s="21" t="s">
        <v>321</v>
      </c>
      <c r="C3" s="21"/>
      <c r="D3" s="21"/>
      <c r="E3" s="21"/>
      <c r="F3" s="21"/>
    </row>
    <row r="5" customFormat="false" ht="15" hidden="false" customHeight="false" outlineLevel="0" collapsed="false">
      <c r="B5" s="6" t="s">
        <v>322</v>
      </c>
    </row>
    <row r="6" customFormat="false" ht="15" hidden="false" customHeight="false" outlineLevel="0" collapsed="false">
      <c r="B6" s="37" t="s">
        <v>323</v>
      </c>
      <c r="C6" s="37" t="s">
        <v>324</v>
      </c>
      <c r="D6" s="37" t="s">
        <v>325</v>
      </c>
      <c r="E6" s="37" t="s">
        <v>326</v>
      </c>
    </row>
    <row r="7" customFormat="false" ht="15" hidden="false" customHeight="false" outlineLevel="0" collapsed="false">
      <c r="B7" s="38" t="s">
        <v>327</v>
      </c>
      <c r="C7" s="38" t="s">
        <v>328</v>
      </c>
      <c r="D7" s="38" t="s">
        <v>329</v>
      </c>
      <c r="E7" s="38" t="s">
        <v>330</v>
      </c>
    </row>
    <row r="8" customFormat="false" ht="15" hidden="false" customHeight="false" outlineLevel="0" collapsed="false">
      <c r="B8" s="38" t="s">
        <v>331</v>
      </c>
      <c r="C8" s="38" t="s">
        <v>332</v>
      </c>
      <c r="D8" s="38" t="s">
        <v>333</v>
      </c>
      <c r="E8" s="38" t="s">
        <v>330</v>
      </c>
    </row>
    <row r="9" customFormat="false" ht="15" hidden="false" customHeight="false" outlineLevel="0" collapsed="false">
      <c r="B9" s="38" t="s">
        <v>334</v>
      </c>
      <c r="C9" s="38" t="s">
        <v>335</v>
      </c>
      <c r="D9" s="38" t="s">
        <v>336</v>
      </c>
      <c r="E9" s="38" t="s">
        <v>330</v>
      </c>
    </row>
    <row r="10" customFormat="false" ht="15" hidden="false" customHeight="false" outlineLevel="0" collapsed="false">
      <c r="B10" s="38" t="s">
        <v>337</v>
      </c>
      <c r="C10" s="38" t="s">
        <v>338</v>
      </c>
      <c r="D10" s="38" t="s">
        <v>339</v>
      </c>
      <c r="E10" s="38" t="s">
        <v>330</v>
      </c>
    </row>
    <row r="13" customFormat="false" ht="15" hidden="false" customHeight="false" outlineLevel="0" collapsed="false">
      <c r="B13" s="6" t="s">
        <v>340</v>
      </c>
    </row>
    <row r="14" customFormat="false" ht="15" hidden="false" customHeight="false" outlineLevel="0" collapsed="false">
      <c r="B14" s="37" t="s">
        <v>341</v>
      </c>
      <c r="C14" s="37" t="s">
        <v>342</v>
      </c>
      <c r="D14" s="37" t="s">
        <v>343</v>
      </c>
    </row>
    <row r="15" customFormat="false" ht="15" hidden="false" customHeight="false" outlineLevel="0" collapsed="false">
      <c r="B15" s="38" t="s">
        <v>344</v>
      </c>
      <c r="C15" s="38" t="s">
        <v>345</v>
      </c>
      <c r="D15" s="38" t="s">
        <v>346</v>
      </c>
    </row>
    <row r="16" customFormat="false" ht="15" hidden="false" customHeight="false" outlineLevel="0" collapsed="false">
      <c r="B16" s="10" t="s">
        <v>347</v>
      </c>
      <c r="C16" s="10" t="s">
        <v>348</v>
      </c>
      <c r="D16" s="10" t="s">
        <v>349</v>
      </c>
    </row>
    <row r="17" customFormat="false" ht="15" hidden="false" customHeight="false" outlineLevel="0" collapsed="false">
      <c r="B17" s="38" t="s">
        <v>350</v>
      </c>
      <c r="C17" s="38" t="s">
        <v>351</v>
      </c>
      <c r="D17" s="38" t="s">
        <v>352</v>
      </c>
    </row>
    <row r="18" customFormat="false" ht="15" hidden="false" customHeight="false" outlineLevel="0" collapsed="false">
      <c r="B18" s="10" t="s">
        <v>353</v>
      </c>
      <c r="C18" s="10" t="s">
        <v>354</v>
      </c>
      <c r="D18" s="10" t="s">
        <v>355</v>
      </c>
    </row>
    <row r="19" customFormat="false" ht="15" hidden="false" customHeight="false" outlineLevel="0" collapsed="false">
      <c r="B19" s="38" t="s">
        <v>356</v>
      </c>
      <c r="C19" s="38" t="s">
        <v>357</v>
      </c>
      <c r="D19" s="38" t="s">
        <v>358</v>
      </c>
    </row>
    <row r="20" customFormat="false" ht="15" hidden="false" customHeight="false" outlineLevel="0" collapsed="false">
      <c r="B20" s="10" t="s">
        <v>359</v>
      </c>
      <c r="C20" s="10" t="s">
        <v>360</v>
      </c>
      <c r="D20" s="10" t="s">
        <v>361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false"/>
  </sheetPr>
  <dimension ref="A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28"/>
  </cols>
  <sheetData>
    <row r="2" customFormat="false" ht="17.35" hidden="false" customHeight="false" outlineLevel="0" collapsed="false">
      <c r="B2" s="20" t="s">
        <v>362</v>
      </c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B4" s="7" t="s">
        <v>27</v>
      </c>
      <c r="C4" s="7" t="s">
        <v>363</v>
      </c>
      <c r="D4" s="7" t="s">
        <v>364</v>
      </c>
      <c r="E4" s="7" t="s">
        <v>365</v>
      </c>
      <c r="F4" s="7" t="s">
        <v>366</v>
      </c>
      <c r="G4" s="7" t="s">
        <v>15</v>
      </c>
      <c r="H4" s="7" t="s">
        <v>367</v>
      </c>
    </row>
    <row r="5" customFormat="false" ht="22.35" hidden="false" customHeight="false" outlineLevel="0" collapsed="false">
      <c r="B5" s="39" t="s">
        <v>66</v>
      </c>
      <c r="C5" s="39" t="s">
        <v>14</v>
      </c>
      <c r="D5" s="39" t="s">
        <v>368</v>
      </c>
      <c r="E5" s="39" t="s">
        <v>369</v>
      </c>
      <c r="F5" s="39" t="s">
        <v>370</v>
      </c>
      <c r="G5" s="39" t="s">
        <v>16</v>
      </c>
      <c r="H5" s="39" t="s">
        <v>371</v>
      </c>
    </row>
    <row r="6" customFormat="false" ht="43.25" hidden="false" customHeight="false" outlineLevel="0" collapsed="false">
      <c r="A6" s="23"/>
      <c r="B6" s="40" t="s">
        <v>230</v>
      </c>
      <c r="C6" s="40" t="s">
        <v>372</v>
      </c>
      <c r="D6" s="40" t="s">
        <v>373</v>
      </c>
      <c r="E6" s="40" t="s">
        <v>374</v>
      </c>
      <c r="F6" s="40" t="s">
        <v>375</v>
      </c>
      <c r="G6" s="40" t="s">
        <v>376</v>
      </c>
      <c r="H6" s="40" t="s">
        <v>377</v>
      </c>
    </row>
    <row r="7" customFormat="false" ht="15" hidden="false" customHeight="false" outlineLevel="0" collapsed="false"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B8" s="39"/>
      <c r="C8" s="39"/>
      <c r="D8" s="39"/>
      <c r="E8" s="39"/>
      <c r="F8" s="39"/>
      <c r="G8" s="39"/>
      <c r="H8" s="39"/>
    </row>
    <row r="9" customFormat="false" ht="15" hidden="false" customHeight="false" outlineLevel="0" collapsed="false">
      <c r="B9" s="10"/>
      <c r="C9" s="10"/>
      <c r="D9" s="10"/>
      <c r="E9" s="10"/>
      <c r="F9" s="10"/>
      <c r="G9" s="10"/>
      <c r="H9" s="10"/>
    </row>
    <row r="12" customFormat="false" ht="15" hidden="false" customHeight="false" outlineLevel="0" collapsed="false">
      <c r="B12" s="6" t="s">
        <v>378</v>
      </c>
    </row>
    <row r="13" customFormat="false" ht="15" hidden="false" customHeight="false" outlineLevel="0" collapsed="false">
      <c r="B13" s="7" t="s">
        <v>379</v>
      </c>
      <c r="C13" s="7" t="s">
        <v>380</v>
      </c>
      <c r="D13" s="7" t="s">
        <v>381</v>
      </c>
      <c r="E13" s="7" t="s">
        <v>382</v>
      </c>
    </row>
    <row r="14" customFormat="false" ht="32.8" hidden="false" customHeight="false" outlineLevel="0" collapsed="false">
      <c r="B14" s="39" t="s">
        <v>383</v>
      </c>
      <c r="C14" s="39" t="s">
        <v>384</v>
      </c>
      <c r="D14" s="39" t="s">
        <v>12</v>
      </c>
      <c r="E14" s="39" t="s">
        <v>14</v>
      </c>
    </row>
    <row r="15" customFormat="false" ht="22.35" hidden="false" customHeight="false" outlineLevel="0" collapsed="false">
      <c r="B15" s="10" t="s">
        <v>385</v>
      </c>
      <c r="C15" s="10" t="s">
        <v>386</v>
      </c>
      <c r="D15" s="10" t="s">
        <v>387</v>
      </c>
      <c r="E15" s="10" t="s">
        <v>14</v>
      </c>
    </row>
    <row r="16" customFormat="false" ht="22.35" hidden="false" customHeight="false" outlineLevel="0" collapsed="false">
      <c r="B16" s="39" t="s">
        <v>388</v>
      </c>
      <c r="C16" s="39" t="s">
        <v>389</v>
      </c>
      <c r="D16" s="39" t="s">
        <v>64</v>
      </c>
      <c r="E16" s="39" t="s">
        <v>14</v>
      </c>
    </row>
    <row r="17" customFormat="false" ht="22.35" hidden="false" customHeight="false" outlineLevel="0" collapsed="false">
      <c r="B17" s="10" t="s">
        <v>390</v>
      </c>
      <c r="C17" s="10" t="s">
        <v>391</v>
      </c>
      <c r="D17" s="10" t="s">
        <v>64</v>
      </c>
      <c r="E17" s="10" t="s">
        <v>186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232"/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24"/>
  </cols>
  <sheetData>
    <row r="2" customFormat="false" ht="17.35" hidden="false" customHeight="false" outlineLevel="0" collapsed="false">
      <c r="B2" s="20" t="s">
        <v>392</v>
      </c>
      <c r="C2" s="20"/>
      <c r="D2" s="20"/>
      <c r="E2" s="20"/>
      <c r="F2" s="20"/>
      <c r="G2" s="20"/>
      <c r="H2" s="20"/>
      <c r="I2" s="20"/>
    </row>
    <row r="4" customFormat="false" ht="15" hidden="false" customHeight="false" outlineLevel="0" collapsed="false">
      <c r="B4" s="7" t="s">
        <v>393</v>
      </c>
      <c r="C4" s="7" t="s">
        <v>394</v>
      </c>
      <c r="D4" s="7" t="s">
        <v>395</v>
      </c>
      <c r="E4" s="7" t="s">
        <v>396</v>
      </c>
      <c r="F4" s="7" t="s">
        <v>397</v>
      </c>
      <c r="G4" s="7" t="s">
        <v>398</v>
      </c>
      <c r="H4" s="7" t="s">
        <v>399</v>
      </c>
      <c r="I4" s="7" t="s">
        <v>15</v>
      </c>
    </row>
    <row r="5" customFormat="false" ht="64.5" hidden="false" customHeight="true" outlineLevel="0" collapsed="false">
      <c r="B5" s="10" t="s">
        <v>400</v>
      </c>
      <c r="C5" s="10" t="s">
        <v>401</v>
      </c>
      <c r="D5" s="10" t="s">
        <v>402</v>
      </c>
      <c r="E5" s="10" t="s">
        <v>403</v>
      </c>
      <c r="F5" s="10" t="s">
        <v>404</v>
      </c>
      <c r="G5" s="10" t="s">
        <v>405</v>
      </c>
      <c r="H5" s="10" t="s">
        <v>63</v>
      </c>
      <c r="I5" s="10" t="s">
        <v>406</v>
      </c>
    </row>
    <row r="6" customFormat="false" ht="64.5" hidden="false" customHeight="true" outlineLevel="0" collapsed="false">
      <c r="B6" s="10" t="s">
        <v>407</v>
      </c>
      <c r="C6" s="10" t="s">
        <v>408</v>
      </c>
      <c r="D6" s="10" t="s">
        <v>402</v>
      </c>
      <c r="E6" s="10" t="s">
        <v>409</v>
      </c>
      <c r="F6" s="10" t="s">
        <v>410</v>
      </c>
      <c r="G6" s="10" t="s">
        <v>411</v>
      </c>
      <c r="H6" s="10" t="s">
        <v>95</v>
      </c>
      <c r="I6" s="10" t="s">
        <v>406</v>
      </c>
    </row>
    <row r="7" customFormat="false" ht="64.5" hidden="false" customHeight="true" outlineLevel="0" collapsed="false">
      <c r="B7" s="10" t="s">
        <v>412</v>
      </c>
      <c r="C7" s="10" t="s">
        <v>413</v>
      </c>
      <c r="D7" s="10" t="s">
        <v>414</v>
      </c>
      <c r="E7" s="10" t="s">
        <v>415</v>
      </c>
      <c r="F7" s="10" t="s">
        <v>416</v>
      </c>
      <c r="G7" s="10" t="s">
        <v>417</v>
      </c>
      <c r="H7" s="10" t="s">
        <v>418</v>
      </c>
      <c r="I7" s="10" t="s">
        <v>406</v>
      </c>
    </row>
    <row r="8" customFormat="false" ht="15" hidden="false" customHeight="false" outlineLevel="0" collapsed="false">
      <c r="B8" s="41"/>
      <c r="C8" s="41"/>
      <c r="D8" s="41"/>
      <c r="E8" s="41"/>
      <c r="F8" s="41"/>
      <c r="G8" s="41"/>
      <c r="H8" s="41"/>
      <c r="I8" s="41"/>
    </row>
    <row r="9" customFormat="false" ht="15" hidden="false" customHeight="false" outlineLevel="0" collapsed="false">
      <c r="B9" s="41"/>
      <c r="C9" s="41"/>
      <c r="D9" s="41"/>
      <c r="E9" s="41"/>
      <c r="F9" s="41"/>
      <c r="G9" s="41"/>
      <c r="H9" s="41"/>
      <c r="I9" s="41"/>
    </row>
    <row r="10" customFormat="false" ht="15" hidden="false" customHeight="false" outlineLevel="0" collapsed="false">
      <c r="B10" s="41"/>
      <c r="C10" s="41"/>
      <c r="D10" s="41"/>
      <c r="E10" s="41"/>
      <c r="F10" s="41"/>
      <c r="G10" s="41"/>
      <c r="H10" s="41"/>
      <c r="I10" s="41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2026-02-12T08:27:40Z</dcterms:created>
  <dc:creator>openpyxl</dc:creator>
  <dc:description/>
  <dc:language>en-US</dc:language>
  <cp:lastModifiedBy/>
  <dcterms:modified xsi:type="dcterms:W3CDTF">2026-03-03T09:45:53Z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